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o XX" sheetId="1" r:id="rId4"/>
  </sheets>
  <definedNames>
    <definedName localSheetId="0" name="Excel_BuiltIn_Print_Area">#NAME?</definedName>
    <definedName localSheetId="0" name="Print_Titles">'Equipo XX'!$1:$2</definedName>
    <definedName localSheetId="0" name="Excel_BuiltIn_Print_Titles">'Equipo XX'!$A$1:$IV$2</definedName>
  </definedNames>
  <calcPr/>
  <extLst>
    <ext uri="GoogleSheetsCustomDataVersion2">
      <go:sheetsCustomData xmlns:go="http://customooxmlschemas.google.com/" r:id="rId5" roundtripDataChecksum="6tRmg3RmNHMOBQ6jtBpDkYOtM4Q1Diz+mKHVw20ShEI="/>
    </ext>
  </extLst>
</workbook>
</file>

<file path=xl/sharedStrings.xml><?xml version="1.0" encoding="utf-8"?>
<sst xmlns="http://schemas.openxmlformats.org/spreadsheetml/2006/main" count="147" uniqueCount="57">
  <si>
    <t xml:space="preserve">Equipo: </t>
  </si>
  <si>
    <t>Problema</t>
  </si>
  <si>
    <t>Categoría</t>
  </si>
  <si>
    <t>Nivel de logro</t>
  </si>
  <si>
    <t>Puntos</t>
  </si>
  <si>
    <t>Ideal</t>
  </si>
  <si>
    <t>Obtenidos</t>
  </si>
  <si>
    <t>Obs.</t>
  </si>
  <si>
    <t>Prueba t de Student para una muestra</t>
  </si>
  <si>
    <t>Formulación de hipótesis</t>
  </si>
  <si>
    <t>Formulan con claridad y explícitamente hipótesis nulas y alternativas pertinentes para responder la pregunta planteada, tanto de forma declarativa como matemática, quedando claro qué paramétro se está infiriendo y definiendo todos los elementos involucrados y determinando correctamente el valor nulo y la dirección de la prueba.</t>
  </si>
  <si>
    <t>Formulan explícitamente hipótesis nulas y alternativas pertinentes para responder la pregunta planteada, tanto de forma declarativa como matemática, quedando claro qué parámetro se está infiriendo aunque algunos elementos involucrados no quedan bien definidos o con algún error con el valor nulo o la dirección de la prueba.</t>
  </si>
  <si>
    <t>Formulan explícitamente hipótesis nulas y alternativas adecuadas para responder la pregunta planteada, aunque con algunos errores importantes.</t>
  </si>
  <si>
    <t>No formulan explícitamente hipótesis nulas y alternativas.</t>
  </si>
  <si>
    <t>Selección de la prueba</t>
  </si>
  <si>
    <t>Proponen explícitamente una prueba estadística pertinente para contrastar hipótesis correctas, justificando esta elección con argumentos sólidos.</t>
  </si>
  <si>
    <t>No da justificaciones para la elección de la prueba aplicada en su estudio</t>
  </si>
  <si>
    <t>Proponen explícitamente una prueba estadística pertinente para contrastar las hipótesis planteadas, dando una justificación sin errores ni contradicciones.</t>
  </si>
  <si>
    <t>Proponen explícitamente una prueba estadística pertinente para contrastar las hipótesis planteadas, pero sin justificar esta elección.</t>
  </si>
  <si>
    <t>No proponen una prueba estadística o bien proponen una prueba inadecuada</t>
  </si>
  <si>
    <t>Verificación de condiciones</t>
  </si>
  <si>
    <t>Evalúan, argumentando convincentemente y utilizando gráficos o pruebas estadísticas auxiliares, que se cumplen los requisitos necesarios para aplicar la prueba seleccionada con validez en la(s) muestra(s) pertinente(s).</t>
  </si>
  <si>
    <t>La justificación para la independencia de datos no es correcta</t>
  </si>
  <si>
    <t>Evalúan, comentando y utilizando gráficos o pruebas estadísticas auxiliares, que se cumplen los requisitos necesarios para aplicar la prueba seleccionada con validez en la(s) muestra(s) pertinente(s).</t>
  </si>
  <si>
    <t>Usan gráficos o pruebas estadísticas auxiliares que sirven para verificar al menos dos de los requisitos necesarios para aplicar la prueba seleccionada, pero sin argumentar el cumplimiento de estos requisitos o con argumentos débiles o incorrectos.</t>
  </si>
  <si>
    <t>No evalúan que se cumplen al menos dos de los requisitos necesarios para aplicar la prueba seleccionada con validez o lo hacen de forma incorrecta.</t>
  </si>
  <si>
    <t>Prueba estadística</t>
  </si>
  <si>
    <t>Escriben código R -ordenado, bien indentado, sin sentencias espurias y bien comentado- que realiza de forma completa y correcta la prueba seleccionada con todos los elementos (datos, valor nulo, dirección de la prueba, etc.) correctos.</t>
  </si>
  <si>
    <t>Escriben código R, bien indentado y sin sentencias espurias, que realiza de forma completa y correcta la prueba seleccionada con todos los elementos correctos.</t>
  </si>
  <si>
    <t>Escriben código R que realiza de forma completa y correcta la prueba seleccionada aplicada a los datos correctos.</t>
  </si>
  <si>
    <t>Escriben código R que realiza de forma completa, aunque incorrecta, la prueba seleccionada.</t>
  </si>
  <si>
    <t>No hay código R que realiza la prueba seleccionada.</t>
  </si>
  <si>
    <t>Conclusión</t>
  </si>
  <si>
    <t>Entregan una conclusión correcta y completa a las preguntas planteadas, basándose en el resultado de las pruebas realizadas y el contexto del problema.</t>
  </si>
  <si>
    <t>Entregan una conclusión correcta a las preguntas planteadas, basándose únicamente en el resultado de las pruebas realizadas.</t>
  </si>
  <si>
    <t>Entregan una conclusión parcialmente correcta, con al menos 50% de los argumentos correctos.</t>
  </si>
  <si>
    <t>Entregan una conclusión sin argumentos, o bien tanto la conclusión como los argumentos son incorrectos o no entregan una conclusión.</t>
  </si>
  <si>
    <t>Ortografía y redacción</t>
  </si>
  <si>
    <t>Escriben respuestas completas con buena ortografía y redacción (&lt; 3 errores), usando vocabulario propio de la disciplina y el contexto del problema.</t>
  </si>
  <si>
    <t>Escriben respuestas relativamente completas con ortografía y redacción aceptables  (≤ 5 errores).</t>
  </si>
  <si>
    <t>Presenta más de 5 errores de ortografía o redacción o las respuestas son escuetas.</t>
  </si>
  <si>
    <t>Total (una muestra)</t>
  </si>
  <si>
    <t>Prueba t de Student para dos muestras pareadas</t>
  </si>
  <si>
    <t xml:space="preserve">Selección de la prueba </t>
  </si>
  <si>
    <t xml:space="preserve">Prueba estadística </t>
  </si>
  <si>
    <t>Usa un conjunto de datos incorrecto</t>
  </si>
  <si>
    <t>La conclusión es incorrecta, pues los datos que refleja el estudio no son representativos para el problema planteado</t>
  </si>
  <si>
    <t>Total (dos muestras pareadas)</t>
  </si>
  <si>
    <t>Prueba t de Student para dos muestras no pareadas</t>
  </si>
  <si>
    <t>No argumenta el uso de la prueba t</t>
  </si>
  <si>
    <t>La conclusión no está basada en los datos que demuestran la prueba realizada</t>
  </si>
  <si>
    <t>Total (dos muestras independientes)</t>
  </si>
  <si>
    <t>Prueba de proporciones para dos muestras (no pareadas)</t>
  </si>
  <si>
    <t>No argumenta el uso de prueba de proporciones</t>
  </si>
  <si>
    <t>No verifica correctamente la condicion exito-fracaso</t>
  </si>
  <si>
    <t>TOTAL</t>
  </si>
  <si>
    <t>NOTA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</si>
</sst>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1.0"/>
      <color rgb="FF000000"/>
      <name val="Arial"/>
      <scheme val="minor"/>
    </font>
    <font>
      <sz val="10.0"/>
      <color rgb="FF000000"/>
      <name val="Arial"/>
    </font>
    <font>
      <b/>
      <sz val="14.0"/>
      <color rgb="FF000000"/>
      <name val="Arial"/>
    </font>
    <font/>
    <font>
      <b/>
      <sz val="18.0"/>
      <color rgb="FF000000"/>
      <name val="Arial"/>
    </font>
    <font>
      <b/>
      <sz val="10.0"/>
      <color rgb="FF000000"/>
      <name val="Arial"/>
    </font>
    <font>
      <sz val="11.0"/>
      <color rgb="FF000000"/>
      <name val="Calibri"/>
    </font>
    <font>
      <sz val="11.0"/>
      <color rgb="FF000000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D9E2F3"/>
        <bgColor rgb="FFD9E2F3"/>
      </patternFill>
    </fill>
    <fill>
      <patternFill patternType="solid">
        <fgColor rgb="FFB4C6E7"/>
        <bgColor rgb="FFB4C6E7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0C2D2"/>
        <bgColor rgb="FFD0C2D2"/>
      </patternFill>
    </fill>
    <fill>
      <patternFill patternType="solid">
        <fgColor rgb="FFE1BEE7"/>
        <bgColor rgb="FFE1BEE7"/>
      </patternFill>
    </fill>
    <fill>
      <patternFill patternType="solid">
        <fgColor rgb="FFFFF8E1"/>
        <bgColor rgb="FFFFF8E1"/>
      </patternFill>
    </fill>
    <fill>
      <patternFill patternType="solid">
        <fgColor rgb="FFFFECB3"/>
        <bgColor rgb="FFFFECB3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1" fillId="0" fontId="2" numFmtId="0" xfId="0" applyAlignment="1" applyBorder="1" applyFont="1">
      <alignment horizontal="right" shrinkToFit="0" vertical="center" wrapText="1"/>
    </xf>
    <xf borderId="2" fillId="0" fontId="3" numFmtId="0" xfId="0" applyBorder="1" applyFont="1"/>
    <xf borderId="3" fillId="0" fontId="4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3" fillId="0" fontId="5" numFmtId="0" xfId="0" applyAlignment="1" applyBorder="1" applyFont="1">
      <alignment horizontal="center" shrinkToFit="0" vertical="center" wrapText="1"/>
    </xf>
    <xf borderId="3" fillId="0" fontId="5" numFmtId="0" xfId="0" applyAlignment="1" applyBorder="1" applyFont="1">
      <alignment horizontal="center" shrinkToFit="0" vertical="center" wrapText="0"/>
    </xf>
    <xf borderId="0" fillId="0" fontId="5" numFmtId="0" xfId="0" applyAlignment="1" applyFont="1">
      <alignment horizontal="center" shrinkToFit="0" vertical="bottom" wrapText="0"/>
    </xf>
    <xf borderId="4" fillId="2" fontId="1" numFmtId="0" xfId="0" applyAlignment="1" applyBorder="1" applyFill="1" applyFont="1">
      <alignment horizontal="center" shrinkToFit="0" vertical="center" wrapText="1"/>
    </xf>
    <xf borderId="3" fillId="2" fontId="1" numFmtId="0" xfId="0" applyAlignment="1" applyBorder="1" applyFont="1">
      <alignment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2" fontId="6" numFmtId="0" xfId="0" applyAlignment="1" applyBorder="1" applyFont="1">
      <alignment horizontal="center" readingOrder="0" shrinkToFit="0" vertical="center" wrapText="1"/>
    </xf>
    <xf borderId="4" fillId="2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bottom" wrapText="0"/>
    </xf>
    <xf borderId="5" fillId="0" fontId="3" numFmtId="0" xfId="0" applyBorder="1" applyFont="1"/>
    <xf borderId="6" fillId="0" fontId="3" numFmtId="0" xfId="0" applyBorder="1" applyFont="1"/>
    <xf borderId="4" fillId="3" fontId="1" numFmtId="0" xfId="0" applyAlignment="1" applyBorder="1" applyFill="1" applyFont="1">
      <alignment horizontal="center" shrinkToFit="0" vertical="center" wrapText="1"/>
    </xf>
    <xf borderId="3" fillId="3" fontId="1" numFmtId="0" xfId="0" applyAlignment="1" applyBorder="1" applyFont="1">
      <alignment shrinkToFit="0" vertical="center" wrapText="1"/>
    </xf>
    <xf borderId="3" fillId="3" fontId="1" numFmtId="0" xfId="0" applyAlignment="1" applyBorder="1" applyFont="1">
      <alignment horizontal="center" shrinkToFit="0" vertical="center" wrapText="1"/>
    </xf>
    <xf borderId="4" fillId="3" fontId="6" numFmtId="0" xfId="0" applyAlignment="1" applyBorder="1" applyFont="1">
      <alignment horizontal="center" readingOrder="0" shrinkToFit="0" vertical="center" wrapText="1"/>
    </xf>
    <xf borderId="4" fillId="3" fontId="6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right" shrinkToFit="0" vertical="center" wrapText="1"/>
    </xf>
    <xf borderId="7" fillId="0" fontId="3" numFmtId="0" xfId="0" applyBorder="1" applyFont="1"/>
    <xf borderId="0" fillId="0" fontId="5" numFmtId="0" xfId="0" applyAlignment="1" applyFont="1">
      <alignment shrinkToFit="0" vertical="bottom" wrapText="0"/>
    </xf>
    <xf borderId="4" fillId="4" fontId="1" numFmtId="0" xfId="0" applyAlignment="1" applyBorder="1" applyFill="1" applyFont="1">
      <alignment horizontal="center" shrinkToFit="0" vertical="center" wrapText="1"/>
    </xf>
    <xf borderId="3" fillId="4" fontId="1" numFmtId="0" xfId="0" applyAlignment="1" applyBorder="1" applyFont="1">
      <alignment shrinkToFit="0" vertical="center" wrapText="1"/>
    </xf>
    <xf borderId="3" fillId="4" fontId="1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shrinkToFit="0" vertical="center" wrapText="1"/>
    </xf>
    <xf borderId="4" fillId="4" fontId="6" numFmtId="0" xfId="0" applyAlignment="1" applyBorder="1" applyFont="1">
      <alignment horizontal="center" shrinkToFit="0" vertical="center" wrapText="1"/>
    </xf>
    <xf borderId="4" fillId="5" fontId="1" numFmtId="0" xfId="0" applyAlignment="1" applyBorder="1" applyFill="1" applyFont="1">
      <alignment horizontal="center" shrinkToFit="0" vertical="center" wrapText="1"/>
    </xf>
    <xf borderId="3" fillId="5" fontId="1" numFmtId="0" xfId="0" applyAlignment="1" applyBorder="1" applyFont="1">
      <alignment shrinkToFit="0" vertical="center" wrapText="1"/>
    </xf>
    <xf borderId="3" fillId="5" fontId="1" numFmtId="0" xfId="0" applyAlignment="1" applyBorder="1" applyFont="1">
      <alignment horizontal="center" shrinkToFit="0" vertical="center" wrapText="1"/>
    </xf>
    <xf borderId="4" fillId="5" fontId="6" numFmtId="0" xfId="0" applyAlignment="1" applyBorder="1" applyFont="1">
      <alignment horizontal="center" readingOrder="0" shrinkToFit="0" vertical="center" wrapText="1"/>
    </xf>
    <xf borderId="4" fillId="5" fontId="6" numFmtId="0" xfId="0" applyAlignment="1" applyBorder="1" applyFont="1">
      <alignment horizontal="center" shrinkToFit="0" vertical="center" wrapText="1"/>
    </xf>
    <xf borderId="4" fillId="6" fontId="1" numFmtId="0" xfId="0" applyAlignment="1" applyBorder="1" applyFill="1" applyFont="1">
      <alignment horizontal="center" shrinkToFit="0" vertical="center" wrapText="1"/>
    </xf>
    <xf borderId="3" fillId="6" fontId="1" numFmtId="0" xfId="0" applyAlignment="1" applyBorder="1" applyFont="1">
      <alignment shrinkToFit="0" vertical="center" wrapText="1"/>
    </xf>
    <xf borderId="3" fillId="6" fontId="1" numFmtId="0" xfId="0" applyAlignment="1" applyBorder="1" applyFont="1">
      <alignment horizontal="center" shrinkToFit="0" vertical="center" wrapText="1"/>
    </xf>
    <xf borderId="4" fillId="6" fontId="6" numFmtId="0" xfId="0" applyAlignment="1" applyBorder="1" applyFont="1">
      <alignment horizontal="center" readingOrder="0" shrinkToFit="0" vertical="center" wrapText="1"/>
    </xf>
    <xf borderId="4" fillId="6" fontId="6" numFmtId="0" xfId="0" applyAlignment="1" applyBorder="1" applyFont="1">
      <alignment horizontal="center" shrinkToFit="0" vertical="center" wrapText="1"/>
    </xf>
    <xf borderId="4" fillId="7" fontId="1" numFmtId="0" xfId="0" applyAlignment="1" applyBorder="1" applyFill="1" applyFont="1">
      <alignment horizontal="center" shrinkToFit="0" vertical="center" wrapText="1"/>
    </xf>
    <xf borderId="3" fillId="7" fontId="1" numFmtId="0" xfId="0" applyAlignment="1" applyBorder="1" applyFont="1">
      <alignment shrinkToFit="0" vertical="center" wrapText="1"/>
    </xf>
    <xf borderId="3" fillId="7" fontId="1" numFmtId="0" xfId="0" applyAlignment="1" applyBorder="1" applyFont="1">
      <alignment horizontal="center" shrinkToFit="0" vertical="center" wrapText="1"/>
    </xf>
    <xf borderId="4" fillId="7" fontId="6" numFmtId="0" xfId="0" applyAlignment="1" applyBorder="1" applyFont="1">
      <alignment horizontal="center" readingOrder="0" shrinkToFit="0" vertical="center" wrapText="1"/>
    </xf>
    <xf borderId="4" fillId="7" fontId="6" numFmtId="0" xfId="0" applyAlignment="1" applyBorder="1" applyFont="1">
      <alignment horizontal="center" shrinkToFit="0" vertical="center" wrapText="1"/>
    </xf>
    <xf borderId="0" fillId="0" fontId="1" numFmtId="0" xfId="0" applyAlignment="1" applyFont="1">
      <alignment shrinkToFit="0" vertical="center" wrapText="0"/>
    </xf>
    <xf borderId="4" fillId="8" fontId="1" numFmtId="0" xfId="0" applyAlignment="1" applyBorder="1" applyFill="1" applyFont="1">
      <alignment horizontal="center" shrinkToFit="0" vertical="center" wrapText="1"/>
    </xf>
    <xf borderId="3" fillId="8" fontId="1" numFmtId="0" xfId="0" applyAlignment="1" applyBorder="1" applyFont="1">
      <alignment shrinkToFit="0" vertical="center" wrapText="1"/>
    </xf>
    <xf borderId="3" fillId="8" fontId="1" numFmtId="0" xfId="0" applyAlignment="1" applyBorder="1" applyFont="1">
      <alignment horizontal="center" shrinkToFit="0" vertical="center" wrapText="1"/>
    </xf>
    <xf borderId="4" fillId="8" fontId="6" numFmtId="0" xfId="0" applyAlignment="1" applyBorder="1" applyFont="1">
      <alignment horizontal="center" readingOrder="0" shrinkToFit="0" vertical="center" wrapText="1"/>
    </xf>
    <xf borderId="4" fillId="8" fontId="6" numFmtId="0" xfId="0" applyAlignment="1" applyBorder="1" applyFont="1">
      <alignment horizontal="center" shrinkToFit="0" vertical="center" wrapText="1"/>
    </xf>
    <xf borderId="4" fillId="9" fontId="1" numFmtId="0" xfId="0" applyAlignment="1" applyBorder="1" applyFill="1" applyFont="1">
      <alignment horizontal="center" shrinkToFit="0" vertical="center" wrapText="1"/>
    </xf>
    <xf borderId="3" fillId="9" fontId="1" numFmtId="0" xfId="0" applyAlignment="1" applyBorder="1" applyFont="1">
      <alignment shrinkToFit="0" vertical="center" wrapText="1"/>
    </xf>
    <xf borderId="3" fillId="9" fontId="1" numFmtId="0" xfId="0" applyAlignment="1" applyBorder="1" applyFont="1">
      <alignment horizontal="center" shrinkToFit="0" vertical="center" wrapText="1"/>
    </xf>
    <xf borderId="4" fillId="9" fontId="6" numFmtId="0" xfId="0" applyAlignment="1" applyBorder="1" applyFont="1">
      <alignment horizontal="center" readingOrder="0" shrinkToFit="0" vertical="center" wrapText="1"/>
    </xf>
    <xf borderId="4" fillId="9" fontId="6" numFmtId="0" xfId="0" applyAlignment="1" applyBorder="1" applyFont="1">
      <alignment horizontal="center" shrinkToFit="0" vertical="center" wrapText="1"/>
    </xf>
    <xf borderId="0" fillId="0" fontId="7" numFmtId="0" xfId="0" applyAlignment="1" applyFont="1">
      <alignment shrinkToFit="0" vertical="bottom" wrapText="0"/>
    </xf>
    <xf borderId="0" fillId="0" fontId="1" numFmtId="0" xfId="0" applyAlignment="1" applyFont="1">
      <alignment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right" shrinkToFit="0" vertical="bottom" wrapText="0"/>
    </xf>
    <xf borderId="3" fillId="0" fontId="5" numFmtId="164" xfId="0" applyAlignment="1" applyBorder="1" applyFont="1" applyNumberForma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10.63"/>
    <col customWidth="1" min="3" max="3" width="56.13"/>
    <col customWidth="1" min="4" max="4" width="8.63"/>
    <col customWidth="1" min="5" max="5" width="6.63"/>
    <col customWidth="1" min="6" max="6" width="10.38"/>
    <col customWidth="1" min="7" max="7" width="30.63"/>
    <col customWidth="1" min="8" max="26" width="9.38"/>
  </cols>
  <sheetData>
    <row r="1" ht="24.75" customHeight="1">
      <c r="A1" s="1"/>
      <c r="B1" s="1"/>
      <c r="C1" s="1"/>
      <c r="D1" s="2" t="s">
        <v>0</v>
      </c>
      <c r="E1" s="3"/>
      <c r="F1" s="4">
        <v>9.0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5.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60.0" customHeight="1">
      <c r="A3" s="9" t="s">
        <v>8</v>
      </c>
      <c r="B3" s="9" t="s">
        <v>9</v>
      </c>
      <c r="C3" s="10" t="s">
        <v>10</v>
      </c>
      <c r="D3" s="11">
        <v>3.0</v>
      </c>
      <c r="E3" s="9">
        <v>3.0</v>
      </c>
      <c r="F3" s="12">
        <v>3.0</v>
      </c>
      <c r="G3" s="13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</row>
    <row r="4" ht="60.0" customHeight="1">
      <c r="A4" s="15"/>
      <c r="B4" s="15"/>
      <c r="C4" s="10" t="s">
        <v>11</v>
      </c>
      <c r="D4" s="11">
        <v>2.0</v>
      </c>
      <c r="E4" s="15"/>
      <c r="F4" s="15"/>
      <c r="G4" s="15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 ht="26.25" customHeight="1">
      <c r="A5" s="15"/>
      <c r="B5" s="15"/>
      <c r="C5" s="10" t="s">
        <v>12</v>
      </c>
      <c r="D5" s="11">
        <v>1.0</v>
      </c>
      <c r="E5" s="15"/>
      <c r="F5" s="15"/>
      <c r="G5" s="15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5.0" customHeight="1">
      <c r="A6" s="15"/>
      <c r="B6" s="16"/>
      <c r="C6" s="10" t="s">
        <v>13</v>
      </c>
      <c r="D6" s="11">
        <v>0.0</v>
      </c>
      <c r="E6" s="16"/>
      <c r="F6" s="16"/>
      <c r="G6" s="16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 ht="26.25" customHeight="1">
      <c r="A7" s="15"/>
      <c r="B7" s="17" t="s">
        <v>14</v>
      </c>
      <c r="C7" s="18" t="s">
        <v>15</v>
      </c>
      <c r="D7" s="19">
        <v>3.0</v>
      </c>
      <c r="E7" s="17">
        <v>3.0</v>
      </c>
      <c r="F7" s="20">
        <v>1.0</v>
      </c>
      <c r="G7" s="20" t="s">
        <v>16</v>
      </c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37.5" customHeight="1">
      <c r="A8" s="15"/>
      <c r="B8" s="15"/>
      <c r="C8" s="18" t="s">
        <v>17</v>
      </c>
      <c r="D8" s="19">
        <v>2.0</v>
      </c>
      <c r="E8" s="15"/>
      <c r="F8" s="15"/>
      <c r="G8" s="15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 ht="26.25" customHeight="1">
      <c r="A9" s="15"/>
      <c r="B9" s="15"/>
      <c r="C9" s="18" t="s">
        <v>18</v>
      </c>
      <c r="D9" s="19">
        <v>1.0</v>
      </c>
      <c r="E9" s="15"/>
      <c r="F9" s="15"/>
      <c r="G9" s="15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26.25" customHeight="1">
      <c r="A10" s="15"/>
      <c r="B10" s="16"/>
      <c r="C10" s="18" t="s">
        <v>19</v>
      </c>
      <c r="D10" s="19">
        <v>0.0</v>
      </c>
      <c r="E10" s="16"/>
      <c r="F10" s="16"/>
      <c r="G10" s="16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 ht="37.5" customHeight="1">
      <c r="A11" s="15"/>
      <c r="B11" s="9" t="s">
        <v>20</v>
      </c>
      <c r="C11" s="10" t="s">
        <v>21</v>
      </c>
      <c r="D11" s="11">
        <v>3.0</v>
      </c>
      <c r="E11" s="9">
        <v>3.0</v>
      </c>
      <c r="F11" s="12">
        <v>2.0</v>
      </c>
      <c r="G11" s="12" t="s">
        <v>22</v>
      </c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37.5" customHeight="1">
      <c r="A12" s="15"/>
      <c r="B12" s="15"/>
      <c r="C12" s="10" t="s">
        <v>23</v>
      </c>
      <c r="D12" s="11">
        <v>2.0</v>
      </c>
      <c r="E12" s="15"/>
      <c r="F12" s="15"/>
      <c r="G12" s="15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 ht="48.75" customHeight="1">
      <c r="A13" s="15"/>
      <c r="B13" s="15"/>
      <c r="C13" s="10" t="s">
        <v>24</v>
      </c>
      <c r="D13" s="11">
        <v>1.0</v>
      </c>
      <c r="E13" s="15"/>
      <c r="F13" s="15"/>
      <c r="G13" s="15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26.25" customHeight="1">
      <c r="A14" s="15"/>
      <c r="B14" s="16"/>
      <c r="C14" s="10" t="s">
        <v>25</v>
      </c>
      <c r="D14" s="11">
        <v>0.0</v>
      </c>
      <c r="E14" s="16"/>
      <c r="F14" s="16"/>
      <c r="G14" s="16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 ht="48.75" customHeight="1">
      <c r="A15" s="15"/>
      <c r="B15" s="17" t="s">
        <v>26</v>
      </c>
      <c r="C15" s="18" t="s">
        <v>27</v>
      </c>
      <c r="D15" s="19">
        <v>4.0</v>
      </c>
      <c r="E15" s="17">
        <v>4.0</v>
      </c>
      <c r="F15" s="20">
        <v>4.0</v>
      </c>
      <c r="G15" s="21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37.5" customHeight="1">
      <c r="A16" s="15"/>
      <c r="B16" s="15"/>
      <c r="C16" s="18" t="s">
        <v>28</v>
      </c>
      <c r="D16" s="19">
        <v>3.0</v>
      </c>
      <c r="E16" s="15"/>
      <c r="F16" s="15"/>
      <c r="G16" s="15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 ht="26.25" customHeight="1">
      <c r="A17" s="15"/>
      <c r="B17" s="15"/>
      <c r="C17" s="18" t="s">
        <v>29</v>
      </c>
      <c r="D17" s="19">
        <v>2.0</v>
      </c>
      <c r="E17" s="15"/>
      <c r="F17" s="15"/>
      <c r="G17" s="15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26.25" customHeight="1">
      <c r="A18" s="15"/>
      <c r="B18" s="15"/>
      <c r="C18" s="18" t="s">
        <v>30</v>
      </c>
      <c r="D18" s="19">
        <v>1.0</v>
      </c>
      <c r="E18" s="15"/>
      <c r="F18" s="15"/>
      <c r="G18" s="15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 ht="15.0" customHeight="1">
      <c r="A19" s="15"/>
      <c r="B19" s="16"/>
      <c r="C19" s="18" t="s">
        <v>31</v>
      </c>
      <c r="D19" s="19">
        <v>0.0</v>
      </c>
      <c r="E19" s="16"/>
      <c r="F19" s="16"/>
      <c r="G19" s="16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37.5" customHeight="1">
      <c r="A20" s="15"/>
      <c r="B20" s="9" t="s">
        <v>32</v>
      </c>
      <c r="C20" s="10" t="s">
        <v>33</v>
      </c>
      <c r="D20" s="11">
        <v>3.0</v>
      </c>
      <c r="E20" s="9">
        <v>3.0</v>
      </c>
      <c r="F20" s="12">
        <v>3.0</v>
      </c>
      <c r="G20" s="13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 ht="26.25" customHeight="1">
      <c r="A21" s="15"/>
      <c r="B21" s="15"/>
      <c r="C21" s="10" t="s">
        <v>34</v>
      </c>
      <c r="D21" s="11">
        <v>2.0</v>
      </c>
      <c r="E21" s="15"/>
      <c r="F21" s="15"/>
      <c r="G21" s="15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26.25" customHeight="1">
      <c r="A22" s="15"/>
      <c r="B22" s="15"/>
      <c r="C22" s="10" t="s">
        <v>35</v>
      </c>
      <c r="D22" s="11">
        <v>1.0</v>
      </c>
      <c r="E22" s="15"/>
      <c r="F22" s="15"/>
      <c r="G22" s="15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 ht="26.25" customHeight="1">
      <c r="A23" s="15"/>
      <c r="B23" s="16"/>
      <c r="C23" s="10" t="s">
        <v>36</v>
      </c>
      <c r="D23" s="11">
        <v>0.0</v>
      </c>
      <c r="E23" s="16"/>
      <c r="F23" s="16"/>
      <c r="G23" s="16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 ht="37.5" customHeight="1">
      <c r="A24" s="15"/>
      <c r="B24" s="17" t="s">
        <v>37</v>
      </c>
      <c r="C24" s="18" t="s">
        <v>38</v>
      </c>
      <c r="D24" s="19">
        <v>2.0</v>
      </c>
      <c r="E24" s="17">
        <v>2.0</v>
      </c>
      <c r="F24" s="20">
        <v>2.0</v>
      </c>
      <c r="G24" s="21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 ht="26.25" customHeight="1">
      <c r="A25" s="15"/>
      <c r="B25" s="15"/>
      <c r="C25" s="18" t="s">
        <v>39</v>
      </c>
      <c r="D25" s="19">
        <v>1.0</v>
      </c>
      <c r="E25" s="15"/>
      <c r="F25" s="15"/>
      <c r="G25" s="15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 ht="26.25" customHeight="1">
      <c r="A26" s="15"/>
      <c r="B26" s="16"/>
      <c r="C26" s="18" t="s">
        <v>40</v>
      </c>
      <c r="D26" s="19">
        <v>0.0</v>
      </c>
      <c r="E26" s="16"/>
      <c r="F26" s="16"/>
      <c r="G26" s="16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 ht="15.0" customHeight="1">
      <c r="A27" s="16"/>
      <c r="B27" s="22" t="s">
        <v>41</v>
      </c>
      <c r="C27" s="23"/>
      <c r="D27" s="3"/>
      <c r="E27" s="6">
        <f t="shared" ref="E27:F27" si="1">SUM(E3:E26)</f>
        <v>18</v>
      </c>
      <c r="F27" s="6">
        <f t="shared" si="1"/>
        <v>15</v>
      </c>
      <c r="G27" s="6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60.0" customHeight="1">
      <c r="A28" s="25" t="s">
        <v>42</v>
      </c>
      <c r="B28" s="25" t="s">
        <v>9</v>
      </c>
      <c r="C28" s="26" t="s">
        <v>10</v>
      </c>
      <c r="D28" s="27">
        <v>3.0</v>
      </c>
      <c r="E28" s="25">
        <v>3.0</v>
      </c>
      <c r="F28" s="28">
        <v>3.0</v>
      </c>
      <c r="G28" s="29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 ht="60.0" customHeight="1">
      <c r="A29" s="15"/>
      <c r="B29" s="15"/>
      <c r="C29" s="26" t="s">
        <v>11</v>
      </c>
      <c r="D29" s="27">
        <v>2.0</v>
      </c>
      <c r="E29" s="15"/>
      <c r="F29" s="15"/>
      <c r="G29" s="15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 ht="26.25" customHeight="1">
      <c r="A30" s="15"/>
      <c r="B30" s="15"/>
      <c r="C30" s="26" t="s">
        <v>12</v>
      </c>
      <c r="D30" s="27">
        <v>1.0</v>
      </c>
      <c r="E30" s="15"/>
      <c r="F30" s="15"/>
      <c r="G30" s="15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 ht="15.0" customHeight="1">
      <c r="A31" s="15"/>
      <c r="B31" s="16"/>
      <c r="C31" s="26" t="s">
        <v>13</v>
      </c>
      <c r="D31" s="27">
        <v>0.0</v>
      </c>
      <c r="E31" s="16"/>
      <c r="F31" s="16"/>
      <c r="G31" s="16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 ht="26.25" customHeight="1">
      <c r="A32" s="15"/>
      <c r="B32" s="30" t="s">
        <v>43</v>
      </c>
      <c r="C32" s="31" t="s">
        <v>15</v>
      </c>
      <c r="D32" s="32">
        <v>3.0</v>
      </c>
      <c r="E32" s="30">
        <v>3.0</v>
      </c>
      <c r="F32" s="33">
        <v>3.0</v>
      </c>
      <c r="G32" s="3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 ht="37.5" customHeight="1">
      <c r="A33" s="15"/>
      <c r="B33" s="15"/>
      <c r="C33" s="31" t="s">
        <v>17</v>
      </c>
      <c r="D33" s="32">
        <v>2.0</v>
      </c>
      <c r="E33" s="15"/>
      <c r="F33" s="15"/>
      <c r="G33" s="15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 ht="26.25" customHeight="1">
      <c r="A34" s="15"/>
      <c r="B34" s="15"/>
      <c r="C34" s="31" t="s">
        <v>18</v>
      </c>
      <c r="D34" s="32">
        <v>1.0</v>
      </c>
      <c r="E34" s="15"/>
      <c r="F34" s="15"/>
      <c r="G34" s="15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 ht="26.25" customHeight="1">
      <c r="A35" s="15"/>
      <c r="B35" s="16"/>
      <c r="C35" s="31" t="s">
        <v>19</v>
      </c>
      <c r="D35" s="32">
        <v>0.0</v>
      </c>
      <c r="E35" s="16"/>
      <c r="F35" s="16"/>
      <c r="G35" s="16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 ht="37.5" customHeight="1">
      <c r="A36" s="15"/>
      <c r="B36" s="25" t="s">
        <v>20</v>
      </c>
      <c r="C36" s="26" t="s">
        <v>21</v>
      </c>
      <c r="D36" s="27">
        <v>3.0</v>
      </c>
      <c r="E36" s="25">
        <v>3.0</v>
      </c>
      <c r="F36" s="28">
        <v>2.0</v>
      </c>
      <c r="G36" s="28" t="s">
        <v>22</v>
      </c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 ht="37.5" customHeight="1">
      <c r="A37" s="15"/>
      <c r="B37" s="15"/>
      <c r="C37" s="26" t="s">
        <v>23</v>
      </c>
      <c r="D37" s="27">
        <v>2.0</v>
      </c>
      <c r="E37" s="15"/>
      <c r="F37" s="15"/>
      <c r="G37" s="15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 ht="48.75" customHeight="1">
      <c r="A38" s="15"/>
      <c r="B38" s="15"/>
      <c r="C38" s="26" t="s">
        <v>24</v>
      </c>
      <c r="D38" s="27">
        <v>1.0</v>
      </c>
      <c r="E38" s="15"/>
      <c r="F38" s="15"/>
      <c r="G38" s="15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 ht="26.25" customHeight="1">
      <c r="A39" s="15"/>
      <c r="B39" s="16"/>
      <c r="C39" s="26" t="s">
        <v>25</v>
      </c>
      <c r="D39" s="27">
        <v>0.0</v>
      </c>
      <c r="E39" s="16"/>
      <c r="F39" s="16"/>
      <c r="G39" s="16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 ht="48.75" customHeight="1">
      <c r="A40" s="15"/>
      <c r="B40" s="30" t="s">
        <v>44</v>
      </c>
      <c r="C40" s="31" t="s">
        <v>27</v>
      </c>
      <c r="D40" s="32">
        <v>4.0</v>
      </c>
      <c r="E40" s="30">
        <v>4.0</v>
      </c>
      <c r="F40" s="33">
        <v>1.0</v>
      </c>
      <c r="G40" s="33" t="s">
        <v>45</v>
      </c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 ht="37.5" customHeight="1">
      <c r="A41" s="15"/>
      <c r="B41" s="15"/>
      <c r="C41" s="31" t="s">
        <v>28</v>
      </c>
      <c r="D41" s="32">
        <v>3.0</v>
      </c>
      <c r="E41" s="15"/>
      <c r="F41" s="15"/>
      <c r="G41" s="15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 ht="26.25" customHeight="1">
      <c r="A42" s="15"/>
      <c r="B42" s="15"/>
      <c r="C42" s="31" t="s">
        <v>29</v>
      </c>
      <c r="D42" s="32">
        <v>2.0</v>
      </c>
      <c r="E42" s="15"/>
      <c r="F42" s="15"/>
      <c r="G42" s="15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 ht="26.25" customHeight="1">
      <c r="A43" s="15"/>
      <c r="B43" s="15"/>
      <c r="C43" s="31" t="s">
        <v>30</v>
      </c>
      <c r="D43" s="32">
        <v>1.0</v>
      </c>
      <c r="E43" s="15"/>
      <c r="F43" s="15"/>
      <c r="G43" s="15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 ht="15.0" customHeight="1">
      <c r="A44" s="15"/>
      <c r="B44" s="16"/>
      <c r="C44" s="31" t="s">
        <v>31</v>
      </c>
      <c r="D44" s="32">
        <v>0.0</v>
      </c>
      <c r="E44" s="16"/>
      <c r="F44" s="16"/>
      <c r="G44" s="16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 ht="37.5" customHeight="1">
      <c r="A45" s="15"/>
      <c r="B45" s="25" t="s">
        <v>32</v>
      </c>
      <c r="C45" s="26" t="s">
        <v>33</v>
      </c>
      <c r="D45" s="27">
        <v>3.0</v>
      </c>
      <c r="E45" s="25">
        <v>3.0</v>
      </c>
      <c r="F45" s="28">
        <v>0.0</v>
      </c>
      <c r="G45" s="28" t="s">
        <v>46</v>
      </c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 ht="26.25" customHeight="1">
      <c r="A46" s="15"/>
      <c r="B46" s="15"/>
      <c r="C46" s="26" t="s">
        <v>34</v>
      </c>
      <c r="D46" s="27">
        <v>2.0</v>
      </c>
      <c r="E46" s="15"/>
      <c r="F46" s="15"/>
      <c r="G46" s="15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 ht="26.25" customHeight="1">
      <c r="A47" s="15"/>
      <c r="B47" s="15"/>
      <c r="C47" s="26" t="s">
        <v>35</v>
      </c>
      <c r="D47" s="27">
        <v>1.0</v>
      </c>
      <c r="E47" s="15"/>
      <c r="F47" s="15"/>
      <c r="G47" s="15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 ht="26.25" customHeight="1">
      <c r="A48" s="15"/>
      <c r="B48" s="16"/>
      <c r="C48" s="26" t="s">
        <v>36</v>
      </c>
      <c r="D48" s="27">
        <v>0.0</v>
      </c>
      <c r="E48" s="16"/>
      <c r="F48" s="16"/>
      <c r="G48" s="16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 ht="37.5" customHeight="1">
      <c r="A49" s="15"/>
      <c r="B49" s="30" t="s">
        <v>37</v>
      </c>
      <c r="C49" s="31" t="s">
        <v>38</v>
      </c>
      <c r="D49" s="32">
        <v>2.0</v>
      </c>
      <c r="E49" s="30">
        <v>2.0</v>
      </c>
      <c r="F49" s="33">
        <v>2.0</v>
      </c>
      <c r="G49" s="3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 ht="26.25" customHeight="1">
      <c r="A50" s="15"/>
      <c r="B50" s="15"/>
      <c r="C50" s="31" t="s">
        <v>39</v>
      </c>
      <c r="D50" s="32">
        <v>1.0</v>
      </c>
      <c r="E50" s="15"/>
      <c r="F50" s="15"/>
      <c r="G50" s="15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 ht="26.25" customHeight="1">
      <c r="A51" s="15"/>
      <c r="B51" s="16"/>
      <c r="C51" s="31" t="s">
        <v>40</v>
      </c>
      <c r="D51" s="32">
        <v>0.0</v>
      </c>
      <c r="E51" s="16"/>
      <c r="F51" s="16"/>
      <c r="G51" s="16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 ht="15.0" customHeight="1">
      <c r="A52" s="16"/>
      <c r="B52" s="22" t="s">
        <v>47</v>
      </c>
      <c r="C52" s="23"/>
      <c r="D52" s="3"/>
      <c r="E52" s="6">
        <f t="shared" ref="E52:F52" si="2">SUM(E28:E51)</f>
        <v>18</v>
      </c>
      <c r="F52" s="6">
        <f t="shared" si="2"/>
        <v>11</v>
      </c>
      <c r="G52" s="6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 ht="60.0" customHeight="1">
      <c r="A53" s="35" t="s">
        <v>48</v>
      </c>
      <c r="B53" s="35" t="s">
        <v>9</v>
      </c>
      <c r="C53" s="36" t="s">
        <v>10</v>
      </c>
      <c r="D53" s="37">
        <v>3.0</v>
      </c>
      <c r="E53" s="35">
        <v>3.0</v>
      </c>
      <c r="F53" s="38">
        <v>3.0</v>
      </c>
      <c r="G53" s="39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 ht="60.0" customHeight="1">
      <c r="A54" s="15"/>
      <c r="B54" s="15"/>
      <c r="C54" s="36" t="s">
        <v>11</v>
      </c>
      <c r="D54" s="37">
        <v>2.0</v>
      </c>
      <c r="E54" s="15"/>
      <c r="F54" s="15"/>
      <c r="G54" s="15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26.25" customHeight="1">
      <c r="A55" s="15"/>
      <c r="B55" s="15"/>
      <c r="C55" s="36" t="s">
        <v>12</v>
      </c>
      <c r="D55" s="37">
        <v>1.0</v>
      </c>
      <c r="E55" s="15"/>
      <c r="F55" s="15"/>
      <c r="G55" s="1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5.0" customHeight="1">
      <c r="A56" s="15"/>
      <c r="B56" s="16"/>
      <c r="C56" s="36" t="s">
        <v>13</v>
      </c>
      <c r="D56" s="37">
        <v>0.0</v>
      </c>
      <c r="E56" s="16"/>
      <c r="F56" s="16"/>
      <c r="G56" s="16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26.25" customHeight="1">
      <c r="A57" s="15"/>
      <c r="B57" s="40" t="s">
        <v>43</v>
      </c>
      <c r="C57" s="41" t="s">
        <v>15</v>
      </c>
      <c r="D57" s="42">
        <v>3.0</v>
      </c>
      <c r="E57" s="40">
        <v>3.0</v>
      </c>
      <c r="F57" s="43">
        <v>2.0</v>
      </c>
      <c r="G57" s="43" t="s">
        <v>49</v>
      </c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37.5" customHeight="1">
      <c r="A58" s="15"/>
      <c r="B58" s="15"/>
      <c r="C58" s="41" t="s">
        <v>17</v>
      </c>
      <c r="D58" s="42">
        <v>2.0</v>
      </c>
      <c r="E58" s="15"/>
      <c r="F58" s="15"/>
      <c r="G58" s="15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26.25" customHeight="1">
      <c r="A59" s="15"/>
      <c r="B59" s="15"/>
      <c r="C59" s="41" t="s">
        <v>18</v>
      </c>
      <c r="D59" s="42">
        <v>1.0</v>
      </c>
      <c r="E59" s="15"/>
      <c r="F59" s="15"/>
      <c r="G59" s="15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 ht="26.25" customHeight="1">
      <c r="A60" s="15"/>
      <c r="B60" s="16"/>
      <c r="C60" s="41" t="s">
        <v>19</v>
      </c>
      <c r="D60" s="42">
        <v>0.0</v>
      </c>
      <c r="E60" s="16"/>
      <c r="F60" s="16"/>
      <c r="G60" s="16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 ht="37.5" customHeight="1">
      <c r="A61" s="15"/>
      <c r="B61" s="35" t="s">
        <v>20</v>
      </c>
      <c r="C61" s="36" t="s">
        <v>21</v>
      </c>
      <c r="D61" s="37">
        <v>3.0</v>
      </c>
      <c r="E61" s="35">
        <v>3.0</v>
      </c>
      <c r="F61" s="38">
        <v>3.0</v>
      </c>
      <c r="G61" s="39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 ht="37.5" customHeight="1">
      <c r="A62" s="15"/>
      <c r="B62" s="15"/>
      <c r="C62" s="36" t="s">
        <v>23</v>
      </c>
      <c r="D62" s="37">
        <v>2.0</v>
      </c>
      <c r="E62" s="15"/>
      <c r="F62" s="15"/>
      <c r="G62" s="1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 ht="48.75" customHeight="1">
      <c r="A63" s="15"/>
      <c r="B63" s="15"/>
      <c r="C63" s="36" t="s">
        <v>24</v>
      </c>
      <c r="D63" s="37">
        <v>1.0</v>
      </c>
      <c r="E63" s="15"/>
      <c r="F63" s="15"/>
      <c r="G63" s="15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 ht="26.25" customHeight="1">
      <c r="A64" s="15"/>
      <c r="B64" s="16"/>
      <c r="C64" s="36" t="s">
        <v>25</v>
      </c>
      <c r="D64" s="37">
        <v>0.0</v>
      </c>
      <c r="E64" s="16"/>
      <c r="F64" s="16"/>
      <c r="G64" s="16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 ht="48.75" customHeight="1">
      <c r="A65" s="15"/>
      <c r="B65" s="40" t="s">
        <v>44</v>
      </c>
      <c r="C65" s="41" t="s">
        <v>27</v>
      </c>
      <c r="D65" s="42">
        <v>4.0</v>
      </c>
      <c r="E65" s="40">
        <v>4.0</v>
      </c>
      <c r="F65" s="43">
        <v>4.0</v>
      </c>
      <c r="G65" s="4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 ht="37.5" customHeight="1">
      <c r="A66" s="15"/>
      <c r="B66" s="15"/>
      <c r="C66" s="41" t="s">
        <v>28</v>
      </c>
      <c r="D66" s="42">
        <v>3.0</v>
      </c>
      <c r="E66" s="15"/>
      <c r="F66" s="15"/>
      <c r="G66" s="1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 ht="26.25" customHeight="1">
      <c r="A67" s="15"/>
      <c r="B67" s="15"/>
      <c r="C67" s="41" t="s">
        <v>29</v>
      </c>
      <c r="D67" s="42">
        <v>2.0</v>
      </c>
      <c r="E67" s="15"/>
      <c r="F67" s="15"/>
      <c r="G67" s="1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 ht="26.25" customHeight="1">
      <c r="A68" s="15"/>
      <c r="B68" s="15"/>
      <c r="C68" s="41" t="s">
        <v>30</v>
      </c>
      <c r="D68" s="42">
        <v>1.0</v>
      </c>
      <c r="E68" s="15"/>
      <c r="F68" s="15"/>
      <c r="G68" s="1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 ht="15.0" customHeight="1">
      <c r="A69" s="15"/>
      <c r="B69" s="16"/>
      <c r="C69" s="41" t="s">
        <v>31</v>
      </c>
      <c r="D69" s="42">
        <v>0.0</v>
      </c>
      <c r="E69" s="16"/>
      <c r="F69" s="16"/>
      <c r="G69" s="16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 ht="37.5" customHeight="1">
      <c r="A70" s="15"/>
      <c r="B70" s="35" t="s">
        <v>32</v>
      </c>
      <c r="C70" s="36" t="s">
        <v>33</v>
      </c>
      <c r="D70" s="37">
        <v>3.0</v>
      </c>
      <c r="E70" s="35">
        <v>3.0</v>
      </c>
      <c r="F70" s="38">
        <v>0.0</v>
      </c>
      <c r="G70" s="38" t="s">
        <v>50</v>
      </c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 ht="26.25" customHeight="1">
      <c r="A71" s="15"/>
      <c r="B71" s="15"/>
      <c r="C71" s="36" t="s">
        <v>34</v>
      </c>
      <c r="D71" s="37">
        <v>2.0</v>
      </c>
      <c r="E71" s="15"/>
      <c r="F71" s="15"/>
      <c r="G71" s="1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 ht="26.25" customHeight="1">
      <c r="A72" s="15"/>
      <c r="B72" s="15"/>
      <c r="C72" s="36" t="s">
        <v>35</v>
      </c>
      <c r="D72" s="37">
        <v>1.0</v>
      </c>
      <c r="E72" s="15"/>
      <c r="F72" s="15"/>
      <c r="G72" s="1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 ht="26.25" customHeight="1">
      <c r="A73" s="15"/>
      <c r="B73" s="16"/>
      <c r="C73" s="36" t="s">
        <v>36</v>
      </c>
      <c r="D73" s="37">
        <v>0.0</v>
      </c>
      <c r="E73" s="16"/>
      <c r="F73" s="16"/>
      <c r="G73" s="16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 ht="37.5" customHeight="1">
      <c r="A74" s="15"/>
      <c r="B74" s="40" t="s">
        <v>37</v>
      </c>
      <c r="C74" s="41" t="s">
        <v>38</v>
      </c>
      <c r="D74" s="42">
        <v>2.0</v>
      </c>
      <c r="E74" s="40">
        <v>2.0</v>
      </c>
      <c r="F74" s="43">
        <v>2.0</v>
      </c>
      <c r="G74" s="4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 ht="26.25" customHeight="1">
      <c r="A75" s="15"/>
      <c r="B75" s="15"/>
      <c r="C75" s="41" t="s">
        <v>39</v>
      </c>
      <c r="D75" s="42">
        <v>1.0</v>
      </c>
      <c r="E75" s="15"/>
      <c r="F75" s="15"/>
      <c r="G75" s="1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 ht="26.25" customHeight="1">
      <c r="A76" s="15"/>
      <c r="B76" s="16"/>
      <c r="C76" s="41" t="s">
        <v>40</v>
      </c>
      <c r="D76" s="42">
        <v>0.0</v>
      </c>
      <c r="E76" s="16"/>
      <c r="F76" s="16"/>
      <c r="G76" s="16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 ht="15.0" customHeight="1">
      <c r="A77" s="16"/>
      <c r="B77" s="22" t="s">
        <v>51</v>
      </c>
      <c r="C77" s="23"/>
      <c r="D77" s="3"/>
      <c r="E77" s="6">
        <f t="shared" ref="E77:F77" si="3">SUM(E53:E76)</f>
        <v>18</v>
      </c>
      <c r="F77" s="6">
        <f t="shared" si="3"/>
        <v>14</v>
      </c>
      <c r="G77" s="4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 ht="60.0" customHeight="1">
      <c r="A78" s="46" t="s">
        <v>52</v>
      </c>
      <c r="B78" s="46" t="s">
        <v>9</v>
      </c>
      <c r="C78" s="47" t="s">
        <v>10</v>
      </c>
      <c r="D78" s="48">
        <v>3.0</v>
      </c>
      <c r="E78" s="46">
        <v>3.0</v>
      </c>
      <c r="F78" s="49">
        <v>3.0</v>
      </c>
      <c r="G78" s="50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 ht="60.0" customHeight="1">
      <c r="A79" s="15"/>
      <c r="B79" s="15"/>
      <c r="C79" s="47" t="s">
        <v>11</v>
      </c>
      <c r="D79" s="48">
        <v>2.0</v>
      </c>
      <c r="E79" s="15"/>
      <c r="F79" s="15"/>
      <c r="G79" s="1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 ht="26.25" customHeight="1">
      <c r="A80" s="15"/>
      <c r="B80" s="15"/>
      <c r="C80" s="47" t="s">
        <v>12</v>
      </c>
      <c r="D80" s="48">
        <v>1.0</v>
      </c>
      <c r="E80" s="15"/>
      <c r="F80" s="15"/>
      <c r="G80" s="1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 ht="15.0" customHeight="1">
      <c r="A81" s="15"/>
      <c r="B81" s="16"/>
      <c r="C81" s="47" t="s">
        <v>13</v>
      </c>
      <c r="D81" s="48">
        <v>0.0</v>
      </c>
      <c r="E81" s="16"/>
      <c r="F81" s="16"/>
      <c r="G81" s="16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 ht="26.25" customHeight="1">
      <c r="A82" s="15"/>
      <c r="B82" s="51" t="s">
        <v>43</v>
      </c>
      <c r="C82" s="52" t="s">
        <v>15</v>
      </c>
      <c r="D82" s="53">
        <v>3.0</v>
      </c>
      <c r="E82" s="51">
        <v>3.0</v>
      </c>
      <c r="F82" s="54">
        <v>2.0</v>
      </c>
      <c r="G82" s="54" t="s">
        <v>53</v>
      </c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 ht="37.5" customHeight="1">
      <c r="A83" s="15"/>
      <c r="B83" s="15"/>
      <c r="C83" s="52" t="s">
        <v>17</v>
      </c>
      <c r="D83" s="53">
        <v>2.0</v>
      </c>
      <c r="E83" s="15"/>
      <c r="F83" s="15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 ht="26.25" customHeight="1">
      <c r="A84" s="15"/>
      <c r="B84" s="15"/>
      <c r="C84" s="52" t="s">
        <v>18</v>
      </c>
      <c r="D84" s="53">
        <v>1.0</v>
      </c>
      <c r="E84" s="15"/>
      <c r="F84" s="15"/>
      <c r="G84" s="1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 ht="26.25" customHeight="1">
      <c r="A85" s="15"/>
      <c r="B85" s="16"/>
      <c r="C85" s="52" t="s">
        <v>19</v>
      </c>
      <c r="D85" s="53">
        <v>0.0</v>
      </c>
      <c r="E85" s="16"/>
      <c r="F85" s="16"/>
      <c r="G85" s="16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 ht="37.5" customHeight="1">
      <c r="A86" s="15"/>
      <c r="B86" s="46" t="s">
        <v>20</v>
      </c>
      <c r="C86" s="47" t="s">
        <v>21</v>
      </c>
      <c r="D86" s="48">
        <v>3.0</v>
      </c>
      <c r="E86" s="46">
        <v>3.0</v>
      </c>
      <c r="F86" s="49">
        <v>2.0</v>
      </c>
      <c r="G86" s="49" t="s">
        <v>54</v>
      </c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 ht="37.5" customHeight="1">
      <c r="A87" s="15"/>
      <c r="B87" s="15"/>
      <c r="C87" s="47" t="s">
        <v>23</v>
      </c>
      <c r="D87" s="48">
        <v>2.0</v>
      </c>
      <c r="E87" s="15"/>
      <c r="F87" s="15"/>
      <c r="G87" s="1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 ht="48.75" customHeight="1">
      <c r="A88" s="15"/>
      <c r="B88" s="15"/>
      <c r="C88" s="47" t="s">
        <v>24</v>
      </c>
      <c r="D88" s="48">
        <v>1.0</v>
      </c>
      <c r="E88" s="15"/>
      <c r="F88" s="15"/>
      <c r="G88" s="1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 ht="26.25" customHeight="1">
      <c r="A89" s="15"/>
      <c r="B89" s="16"/>
      <c r="C89" s="47" t="s">
        <v>25</v>
      </c>
      <c r="D89" s="48">
        <v>0.0</v>
      </c>
      <c r="E89" s="16"/>
      <c r="F89" s="16"/>
      <c r="G89" s="16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 ht="48.75" customHeight="1">
      <c r="A90" s="15"/>
      <c r="B90" s="51" t="s">
        <v>44</v>
      </c>
      <c r="C90" s="52" t="s">
        <v>27</v>
      </c>
      <c r="D90" s="53">
        <v>4.0</v>
      </c>
      <c r="E90" s="51">
        <v>4.0</v>
      </c>
      <c r="F90" s="54">
        <v>4.0</v>
      </c>
      <c r="G90" s="5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 ht="37.5" customHeight="1">
      <c r="A91" s="15"/>
      <c r="B91" s="15"/>
      <c r="C91" s="52" t="s">
        <v>28</v>
      </c>
      <c r="D91" s="53">
        <v>3.0</v>
      </c>
      <c r="E91" s="15"/>
      <c r="F91" s="15"/>
      <c r="G91" s="1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 ht="26.25" customHeight="1">
      <c r="A92" s="15"/>
      <c r="B92" s="15"/>
      <c r="C92" s="52" t="s">
        <v>29</v>
      </c>
      <c r="D92" s="53">
        <v>2.0</v>
      </c>
      <c r="E92" s="15"/>
      <c r="F92" s="15"/>
      <c r="G92" s="1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 ht="26.25" customHeight="1">
      <c r="A93" s="15"/>
      <c r="B93" s="15"/>
      <c r="C93" s="52" t="s">
        <v>30</v>
      </c>
      <c r="D93" s="53">
        <v>1.0</v>
      </c>
      <c r="E93" s="15"/>
      <c r="F93" s="15"/>
      <c r="G93" s="1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 ht="15.0" customHeight="1">
      <c r="A94" s="15"/>
      <c r="B94" s="16"/>
      <c r="C94" s="52" t="s">
        <v>31</v>
      </c>
      <c r="D94" s="53">
        <v>0.0</v>
      </c>
      <c r="E94" s="16"/>
      <c r="F94" s="16"/>
      <c r="G94" s="16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 ht="37.5" customHeight="1">
      <c r="A95" s="15"/>
      <c r="B95" s="46" t="s">
        <v>32</v>
      </c>
      <c r="C95" s="47" t="s">
        <v>33</v>
      </c>
      <c r="D95" s="48">
        <v>3.0</v>
      </c>
      <c r="E95" s="46">
        <v>3.0</v>
      </c>
      <c r="F95" s="49">
        <v>3.0</v>
      </c>
      <c r="G95" s="50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 ht="26.25" customHeight="1">
      <c r="A96" s="15"/>
      <c r="B96" s="15"/>
      <c r="C96" s="47" t="s">
        <v>34</v>
      </c>
      <c r="D96" s="48">
        <v>2.0</v>
      </c>
      <c r="E96" s="15"/>
      <c r="F96" s="15"/>
      <c r="G96" s="1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 ht="26.25" customHeight="1">
      <c r="A97" s="15"/>
      <c r="B97" s="15"/>
      <c r="C97" s="47" t="s">
        <v>35</v>
      </c>
      <c r="D97" s="48">
        <v>1.0</v>
      </c>
      <c r="E97" s="15"/>
      <c r="F97" s="15"/>
      <c r="G97" s="1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 ht="26.25" customHeight="1">
      <c r="A98" s="15"/>
      <c r="B98" s="16"/>
      <c r="C98" s="47" t="s">
        <v>36</v>
      </c>
      <c r="D98" s="48">
        <v>0.0</v>
      </c>
      <c r="E98" s="16"/>
      <c r="F98" s="16"/>
      <c r="G98" s="16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 ht="37.5" customHeight="1">
      <c r="A99" s="15"/>
      <c r="B99" s="51" t="s">
        <v>37</v>
      </c>
      <c r="C99" s="52" t="s">
        <v>38</v>
      </c>
      <c r="D99" s="53">
        <v>2.0</v>
      </c>
      <c r="E99" s="51">
        <v>2.0</v>
      </c>
      <c r="F99" s="54">
        <v>2.0</v>
      </c>
      <c r="G99" s="5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 ht="26.25" customHeight="1">
      <c r="A100" s="15"/>
      <c r="B100" s="15"/>
      <c r="C100" s="52" t="s">
        <v>39</v>
      </c>
      <c r="D100" s="53">
        <v>1.0</v>
      </c>
      <c r="E100" s="15"/>
      <c r="F100" s="15"/>
      <c r="G100" s="1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 ht="26.25" customHeight="1">
      <c r="A101" s="15"/>
      <c r="B101" s="16"/>
      <c r="C101" s="52" t="s">
        <v>40</v>
      </c>
      <c r="D101" s="53">
        <v>0.0</v>
      </c>
      <c r="E101" s="16"/>
      <c r="F101" s="16"/>
      <c r="G101" s="16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 ht="15.0" customHeight="1">
      <c r="A102" s="16"/>
      <c r="B102" s="22" t="s">
        <v>51</v>
      </c>
      <c r="C102" s="23"/>
      <c r="D102" s="3"/>
      <c r="E102" s="6">
        <f t="shared" ref="E102:F102" si="4">SUM(E78:E101)</f>
        <v>18</v>
      </c>
      <c r="F102" s="6">
        <f t="shared" si="4"/>
        <v>16</v>
      </c>
      <c r="G102" s="4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 ht="16.5" customHeight="1">
      <c r="A103" s="56"/>
      <c r="B103" s="57"/>
      <c r="C103" s="57"/>
      <c r="D103" s="58" t="s">
        <v>55</v>
      </c>
      <c r="E103" s="6">
        <f t="shared" ref="E103:F103" si="5">E102+E77+E52+E27</f>
        <v>72</v>
      </c>
      <c r="F103" s="6">
        <f t="shared" si="5"/>
        <v>56</v>
      </c>
      <c r="G103" s="45"/>
      <c r="H103" s="59"/>
      <c r="I103" s="5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59"/>
      <c r="W103" s="59"/>
      <c r="X103" s="59"/>
      <c r="Y103" s="59"/>
      <c r="Z103" s="59"/>
    </row>
    <row r="104" ht="16.5" customHeight="1">
      <c r="A104" s="56"/>
      <c r="B104" s="57"/>
      <c r="C104" s="57"/>
      <c r="D104" s="58" t="s">
        <v>56</v>
      </c>
      <c r="E104" s="60">
        <v>7.0</v>
      </c>
      <c r="F104" s="60">
        <f>ROUND(TRUNC(IF(F103&lt;(E103*0.6),3*F103/(E103*0.6)+1,3*(F103-(E103*0.6))/(E103*0.4)+4),2),1)</f>
        <v>5.3</v>
      </c>
      <c r="G104" s="45"/>
      <c r="H104" s="59"/>
      <c r="I104" s="5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59"/>
      <c r="W104" s="59"/>
      <c r="X104" s="59"/>
      <c r="Y104" s="59"/>
      <c r="Z104" s="59"/>
    </row>
    <row r="105" ht="15.0" customHeight="1">
      <c r="A105" s="57"/>
      <c r="B105" s="57"/>
      <c r="C105" s="57"/>
      <c r="D105" s="1"/>
      <c r="E105" s="1"/>
      <c r="F105" s="45"/>
      <c r="G105" s="4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 ht="15.0" customHeight="1">
      <c r="A106" s="57"/>
      <c r="B106" s="57"/>
      <c r="C106" s="57"/>
      <c r="D106" s="1"/>
      <c r="E106" s="1"/>
      <c r="F106" s="45"/>
      <c r="G106" s="4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 ht="15.0" customHeight="1">
      <c r="A107" s="57"/>
      <c r="B107" s="57"/>
      <c r="C107" s="57"/>
      <c r="D107" s="1"/>
      <c r="E107" s="1"/>
      <c r="F107" s="45"/>
      <c r="G107" s="4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 ht="15.0" customHeight="1">
      <c r="A108" s="57"/>
      <c r="B108" s="57"/>
      <c r="C108" s="57"/>
      <c r="D108" s="1"/>
      <c r="E108" s="1"/>
      <c r="F108" s="45"/>
      <c r="G108" s="4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 ht="15.0" customHeight="1">
      <c r="A109" s="57"/>
      <c r="B109" s="57"/>
      <c r="C109" s="57"/>
      <c r="D109" s="1"/>
      <c r="E109" s="1"/>
      <c r="F109" s="45"/>
      <c r="G109" s="4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 ht="15.0" customHeight="1">
      <c r="A110" s="57"/>
      <c r="B110" s="57"/>
      <c r="C110" s="57"/>
      <c r="D110" s="1"/>
      <c r="E110" s="1"/>
      <c r="F110" s="45"/>
      <c r="G110" s="4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 ht="15.0" customHeight="1">
      <c r="A111" s="57"/>
      <c r="B111" s="57"/>
      <c r="C111" s="57"/>
      <c r="D111" s="1"/>
      <c r="E111" s="1"/>
      <c r="F111" s="45"/>
      <c r="G111" s="4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 ht="15.0" customHeight="1">
      <c r="A112" s="57"/>
      <c r="B112" s="57"/>
      <c r="C112" s="57"/>
      <c r="D112" s="1"/>
      <c r="E112" s="1"/>
      <c r="F112" s="45"/>
      <c r="G112" s="4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 ht="15.0" customHeight="1">
      <c r="A113" s="57"/>
      <c r="B113" s="57"/>
      <c r="C113" s="57"/>
      <c r="D113" s="1"/>
      <c r="E113" s="1"/>
      <c r="F113" s="45"/>
      <c r="G113" s="4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 ht="15.0" customHeight="1">
      <c r="A114" s="57"/>
      <c r="B114" s="57"/>
      <c r="C114" s="57"/>
      <c r="D114" s="1"/>
      <c r="E114" s="1"/>
      <c r="F114" s="45"/>
      <c r="G114" s="4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 ht="15.0" customHeight="1">
      <c r="A115" s="57"/>
      <c r="B115" s="57"/>
      <c r="C115" s="57"/>
      <c r="D115" s="1"/>
      <c r="E115" s="1"/>
      <c r="F115" s="45"/>
      <c r="G115" s="4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 ht="15.0" customHeight="1">
      <c r="A116" s="57"/>
      <c r="B116" s="57"/>
      <c r="C116" s="57"/>
      <c r="D116" s="1"/>
      <c r="E116" s="1"/>
      <c r="F116" s="45"/>
      <c r="G116" s="4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 ht="15.0" customHeight="1">
      <c r="A117" s="57"/>
      <c r="B117" s="57"/>
      <c r="C117" s="57"/>
      <c r="D117" s="1"/>
      <c r="E117" s="1"/>
      <c r="F117" s="45"/>
      <c r="G117" s="4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 ht="15.0" customHeight="1">
      <c r="A118" s="57"/>
      <c r="B118" s="57"/>
      <c r="C118" s="57"/>
      <c r="D118" s="1"/>
      <c r="E118" s="1"/>
      <c r="F118" s="45"/>
      <c r="G118" s="4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 ht="15.0" customHeight="1">
      <c r="A119" s="57"/>
      <c r="B119" s="57"/>
      <c r="C119" s="57"/>
      <c r="D119" s="1"/>
      <c r="E119" s="1"/>
      <c r="F119" s="45"/>
      <c r="G119" s="4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 ht="15.0" customHeight="1">
      <c r="A120" s="57"/>
      <c r="B120" s="57"/>
      <c r="C120" s="57"/>
      <c r="D120" s="1"/>
      <c r="E120" s="1"/>
      <c r="F120" s="45"/>
      <c r="G120" s="4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 ht="15.0" customHeight="1">
      <c r="A121" s="57"/>
      <c r="B121" s="57"/>
      <c r="C121" s="57"/>
      <c r="D121" s="1"/>
      <c r="E121" s="1"/>
      <c r="F121" s="45"/>
      <c r="G121" s="4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 ht="15.0" customHeight="1">
      <c r="A122" s="57"/>
      <c r="B122" s="57"/>
      <c r="C122" s="57"/>
      <c r="D122" s="1"/>
      <c r="E122" s="1"/>
      <c r="F122" s="45"/>
      <c r="G122" s="4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 ht="15.0" customHeight="1">
      <c r="A123" s="57"/>
      <c r="B123" s="57"/>
      <c r="C123" s="57"/>
      <c r="D123" s="1"/>
      <c r="E123" s="1"/>
      <c r="F123" s="45"/>
      <c r="G123" s="4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 ht="15.0" customHeight="1">
      <c r="A124" s="57"/>
      <c r="B124" s="57"/>
      <c r="C124" s="57"/>
      <c r="D124" s="1"/>
      <c r="E124" s="1"/>
      <c r="F124" s="45"/>
      <c r="G124" s="4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 ht="15.0" customHeight="1">
      <c r="A125" s="57"/>
      <c r="B125" s="57"/>
      <c r="C125" s="57"/>
      <c r="D125" s="1"/>
      <c r="E125" s="1"/>
      <c r="F125" s="45"/>
      <c r="G125" s="4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 ht="15.0" customHeight="1">
      <c r="A126" s="57"/>
      <c r="B126" s="57"/>
      <c r="C126" s="57"/>
      <c r="D126" s="1"/>
      <c r="E126" s="1"/>
      <c r="F126" s="45"/>
      <c r="G126" s="4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 ht="15.0" customHeight="1">
      <c r="A127" s="57"/>
      <c r="B127" s="57"/>
      <c r="C127" s="57"/>
      <c r="D127" s="1"/>
      <c r="E127" s="1"/>
      <c r="F127" s="45"/>
      <c r="G127" s="4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 ht="15.0" customHeight="1">
      <c r="A128" s="57"/>
      <c r="B128" s="57"/>
      <c r="C128" s="57"/>
      <c r="D128" s="1"/>
      <c r="E128" s="1"/>
      <c r="F128" s="45"/>
      <c r="G128" s="4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 ht="15.0" customHeight="1">
      <c r="A129" s="57"/>
      <c r="B129" s="57"/>
      <c r="C129" s="57"/>
      <c r="D129" s="1"/>
      <c r="E129" s="1"/>
      <c r="F129" s="45"/>
      <c r="G129" s="4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 ht="15.0" customHeight="1">
      <c r="A130" s="57"/>
      <c r="B130" s="57"/>
      <c r="C130" s="57"/>
      <c r="D130" s="1"/>
      <c r="E130" s="1"/>
      <c r="F130" s="45"/>
      <c r="G130" s="4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 ht="15.0" customHeight="1">
      <c r="A131" s="57"/>
      <c r="B131" s="57"/>
      <c r="C131" s="57"/>
      <c r="D131" s="1"/>
      <c r="E131" s="1"/>
      <c r="F131" s="45"/>
      <c r="G131" s="4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 ht="15.0" customHeight="1">
      <c r="A132" s="57"/>
      <c r="B132" s="57"/>
      <c r="C132" s="57"/>
      <c r="D132" s="1"/>
      <c r="E132" s="1"/>
      <c r="F132" s="45"/>
      <c r="G132" s="4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 ht="15.0" customHeight="1">
      <c r="A133" s="57"/>
      <c r="B133" s="57"/>
      <c r="C133" s="57"/>
      <c r="D133" s="1"/>
      <c r="E133" s="1"/>
      <c r="F133" s="45"/>
      <c r="G133" s="4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 ht="15.0" customHeight="1">
      <c r="A134" s="57"/>
      <c r="B134" s="57"/>
      <c r="C134" s="57"/>
      <c r="D134" s="1"/>
      <c r="E134" s="1"/>
      <c r="F134" s="45"/>
      <c r="G134" s="4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 ht="15.0" customHeight="1">
      <c r="A135" s="57"/>
      <c r="B135" s="57"/>
      <c r="C135" s="57"/>
      <c r="D135" s="1"/>
      <c r="E135" s="1"/>
      <c r="F135" s="45"/>
      <c r="G135" s="4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 ht="15.0" customHeight="1">
      <c r="A136" s="57"/>
      <c r="B136" s="57"/>
      <c r="C136" s="57"/>
      <c r="D136" s="1"/>
      <c r="E136" s="1"/>
      <c r="F136" s="45"/>
      <c r="G136" s="4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 ht="15.0" customHeight="1">
      <c r="A137" s="57"/>
      <c r="B137" s="57"/>
      <c r="C137" s="57"/>
      <c r="D137" s="1"/>
      <c r="E137" s="1"/>
      <c r="F137" s="45"/>
      <c r="G137" s="4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 ht="15.0" customHeight="1">
      <c r="A138" s="57"/>
      <c r="B138" s="57"/>
      <c r="C138" s="57"/>
      <c r="D138" s="1"/>
      <c r="E138" s="1"/>
      <c r="F138" s="45"/>
      <c r="G138" s="4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 ht="15.0" customHeight="1">
      <c r="A139" s="57"/>
      <c r="B139" s="57"/>
      <c r="C139" s="57"/>
      <c r="D139" s="1"/>
      <c r="E139" s="1"/>
      <c r="F139" s="45"/>
      <c r="G139" s="4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 ht="15.0" customHeight="1">
      <c r="A140" s="57"/>
      <c r="B140" s="57"/>
      <c r="C140" s="57"/>
      <c r="D140" s="1"/>
      <c r="E140" s="1"/>
      <c r="F140" s="45"/>
      <c r="G140" s="4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 ht="15.0" customHeight="1">
      <c r="A141" s="57"/>
      <c r="B141" s="57"/>
      <c r="C141" s="57"/>
      <c r="D141" s="1"/>
      <c r="E141" s="1"/>
      <c r="F141" s="45"/>
      <c r="G141" s="4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 ht="15.0" customHeight="1">
      <c r="A142" s="57"/>
      <c r="B142" s="57"/>
      <c r="C142" s="57"/>
      <c r="D142" s="1"/>
      <c r="E142" s="1"/>
      <c r="F142" s="45"/>
      <c r="G142" s="4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 ht="15.0" customHeight="1">
      <c r="A143" s="57"/>
      <c r="B143" s="57"/>
      <c r="C143" s="57"/>
      <c r="D143" s="1"/>
      <c r="E143" s="1"/>
      <c r="F143" s="45"/>
      <c r="G143" s="4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 ht="15.0" customHeight="1">
      <c r="A144" s="57"/>
      <c r="B144" s="57"/>
      <c r="C144" s="57"/>
      <c r="D144" s="1"/>
      <c r="E144" s="1"/>
      <c r="F144" s="45"/>
      <c r="G144" s="4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 ht="15.0" customHeight="1">
      <c r="A145" s="57"/>
      <c r="B145" s="57"/>
      <c r="C145" s="57"/>
      <c r="D145" s="1"/>
      <c r="E145" s="1"/>
      <c r="F145" s="45"/>
      <c r="G145" s="4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 ht="15.0" customHeight="1">
      <c r="A146" s="57"/>
      <c r="B146" s="57"/>
      <c r="C146" s="57"/>
      <c r="D146" s="1"/>
      <c r="E146" s="1"/>
      <c r="F146" s="45"/>
      <c r="G146" s="4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 ht="15.0" customHeight="1">
      <c r="A147" s="57"/>
      <c r="B147" s="57"/>
      <c r="C147" s="57"/>
      <c r="D147" s="1"/>
      <c r="E147" s="1"/>
      <c r="F147" s="45"/>
      <c r="G147" s="4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 ht="15.0" customHeight="1">
      <c r="A148" s="57"/>
      <c r="B148" s="57"/>
      <c r="C148" s="57"/>
      <c r="D148" s="1"/>
      <c r="E148" s="1"/>
      <c r="F148" s="45"/>
      <c r="G148" s="4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 ht="15.0" customHeight="1">
      <c r="A149" s="57"/>
      <c r="B149" s="57"/>
      <c r="C149" s="57"/>
      <c r="D149" s="1"/>
      <c r="E149" s="1"/>
      <c r="F149" s="45"/>
      <c r="G149" s="4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 ht="15.0" customHeight="1">
      <c r="A150" s="57"/>
      <c r="B150" s="57"/>
      <c r="C150" s="57"/>
      <c r="D150" s="1"/>
      <c r="E150" s="1"/>
      <c r="F150" s="45"/>
      <c r="G150" s="4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 ht="15.0" customHeight="1">
      <c r="A151" s="57"/>
      <c r="B151" s="57"/>
      <c r="C151" s="57"/>
      <c r="D151" s="1"/>
      <c r="E151" s="1"/>
      <c r="F151" s="45"/>
      <c r="G151" s="4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 ht="15.0" customHeight="1">
      <c r="A152" s="57"/>
      <c r="B152" s="57"/>
      <c r="C152" s="57"/>
      <c r="D152" s="1"/>
      <c r="E152" s="1"/>
      <c r="F152" s="45"/>
      <c r="G152" s="4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 ht="15.0" customHeight="1">
      <c r="A153" s="57"/>
      <c r="B153" s="57"/>
      <c r="C153" s="57"/>
      <c r="D153" s="1"/>
      <c r="E153" s="1"/>
      <c r="F153" s="45"/>
      <c r="G153" s="4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 ht="15.0" customHeight="1">
      <c r="A154" s="57"/>
      <c r="B154" s="57"/>
      <c r="C154" s="57"/>
      <c r="D154" s="1"/>
      <c r="E154" s="1"/>
      <c r="F154" s="45"/>
      <c r="G154" s="4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 ht="15.0" customHeight="1">
      <c r="A155" s="57"/>
      <c r="B155" s="57"/>
      <c r="C155" s="57"/>
      <c r="D155" s="1"/>
      <c r="E155" s="1"/>
      <c r="F155" s="45"/>
      <c r="G155" s="4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 ht="15.0" customHeight="1">
      <c r="A156" s="57"/>
      <c r="B156" s="57"/>
      <c r="C156" s="57"/>
      <c r="D156" s="1"/>
      <c r="E156" s="1"/>
      <c r="F156" s="45"/>
      <c r="G156" s="4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 ht="15.0" customHeight="1">
      <c r="A157" s="57"/>
      <c r="B157" s="57"/>
      <c r="C157" s="57"/>
      <c r="D157" s="1"/>
      <c r="E157" s="1"/>
      <c r="F157" s="45"/>
      <c r="G157" s="4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 ht="15.0" customHeight="1">
      <c r="A158" s="57"/>
      <c r="B158" s="57"/>
      <c r="C158" s="57"/>
      <c r="D158" s="1"/>
      <c r="E158" s="1"/>
      <c r="F158" s="45"/>
      <c r="G158" s="4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 ht="15.0" customHeight="1">
      <c r="A159" s="57"/>
      <c r="B159" s="57"/>
      <c r="C159" s="57"/>
      <c r="D159" s="1"/>
      <c r="E159" s="1"/>
      <c r="F159" s="45"/>
      <c r="G159" s="4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 ht="15.0" customHeight="1">
      <c r="A160" s="57"/>
      <c r="B160" s="57"/>
      <c r="C160" s="57"/>
      <c r="D160" s="1"/>
      <c r="E160" s="1"/>
      <c r="F160" s="45"/>
      <c r="G160" s="4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 ht="15.0" customHeight="1">
      <c r="A161" s="57"/>
      <c r="B161" s="57"/>
      <c r="C161" s="57"/>
      <c r="D161" s="1"/>
      <c r="E161" s="1"/>
      <c r="F161" s="45"/>
      <c r="G161" s="4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 ht="15.0" customHeight="1">
      <c r="A162" s="57"/>
      <c r="B162" s="57"/>
      <c r="C162" s="57"/>
      <c r="D162" s="1"/>
      <c r="E162" s="1"/>
      <c r="F162" s="45"/>
      <c r="G162" s="4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 ht="15.0" customHeight="1">
      <c r="A163" s="57"/>
      <c r="B163" s="57"/>
      <c r="C163" s="57"/>
      <c r="D163" s="1"/>
      <c r="E163" s="1"/>
      <c r="F163" s="45"/>
      <c r="G163" s="4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 ht="15.0" customHeight="1">
      <c r="A164" s="57"/>
      <c r="B164" s="57"/>
      <c r="C164" s="57"/>
      <c r="D164" s="1"/>
      <c r="E164" s="1"/>
      <c r="F164" s="45"/>
      <c r="G164" s="4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 ht="15.0" customHeight="1">
      <c r="A165" s="57"/>
      <c r="B165" s="57"/>
      <c r="C165" s="57"/>
      <c r="D165" s="1"/>
      <c r="E165" s="1"/>
      <c r="F165" s="45"/>
      <c r="G165" s="4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 ht="15.0" customHeight="1">
      <c r="A166" s="57"/>
      <c r="B166" s="57"/>
      <c r="C166" s="57"/>
      <c r="D166" s="1"/>
      <c r="E166" s="1"/>
      <c r="F166" s="45"/>
      <c r="G166" s="4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 ht="15.0" customHeight="1">
      <c r="A167" s="57"/>
      <c r="B167" s="57"/>
      <c r="C167" s="57"/>
      <c r="D167" s="1"/>
      <c r="E167" s="1"/>
      <c r="F167" s="45"/>
      <c r="G167" s="4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 ht="15.0" customHeight="1">
      <c r="A168" s="57"/>
      <c r="B168" s="57"/>
      <c r="C168" s="57"/>
      <c r="D168" s="1"/>
      <c r="E168" s="1"/>
      <c r="F168" s="45"/>
      <c r="G168" s="4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 ht="15.0" customHeight="1">
      <c r="A169" s="57"/>
      <c r="B169" s="57"/>
      <c r="C169" s="57"/>
      <c r="D169" s="1"/>
      <c r="E169" s="1"/>
      <c r="F169" s="45"/>
      <c r="G169" s="4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 ht="15.0" customHeight="1">
      <c r="A170" s="57"/>
      <c r="B170" s="57"/>
      <c r="C170" s="57"/>
      <c r="D170" s="1"/>
      <c r="E170" s="1"/>
      <c r="F170" s="45"/>
      <c r="G170" s="4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 ht="15.0" customHeight="1">
      <c r="A171" s="57"/>
      <c r="B171" s="57"/>
      <c r="C171" s="57"/>
      <c r="D171" s="1"/>
      <c r="E171" s="1"/>
      <c r="F171" s="45"/>
      <c r="G171" s="4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 ht="15.0" customHeight="1">
      <c r="A172" s="57"/>
      <c r="B172" s="57"/>
      <c r="C172" s="57"/>
      <c r="D172" s="1"/>
      <c r="E172" s="1"/>
      <c r="F172" s="45"/>
      <c r="G172" s="4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 ht="15.0" customHeight="1">
      <c r="A173" s="57"/>
      <c r="B173" s="57"/>
      <c r="C173" s="57"/>
      <c r="D173" s="1"/>
      <c r="E173" s="1"/>
      <c r="F173" s="45"/>
      <c r="G173" s="4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 ht="15.0" customHeight="1">
      <c r="A174" s="57"/>
      <c r="B174" s="57"/>
      <c r="C174" s="57"/>
      <c r="D174" s="1"/>
      <c r="E174" s="1"/>
      <c r="F174" s="45"/>
      <c r="G174" s="4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 ht="15.0" customHeight="1">
      <c r="A175" s="57"/>
      <c r="B175" s="57"/>
      <c r="C175" s="57"/>
      <c r="D175" s="1"/>
      <c r="E175" s="1"/>
      <c r="F175" s="45"/>
      <c r="G175" s="4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 ht="15.0" customHeight="1">
      <c r="A176" s="57"/>
      <c r="B176" s="57"/>
      <c r="C176" s="57"/>
      <c r="D176" s="1"/>
      <c r="E176" s="1"/>
      <c r="F176" s="45"/>
      <c r="G176" s="4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 ht="15.0" customHeight="1">
      <c r="A177" s="57"/>
      <c r="B177" s="57"/>
      <c r="C177" s="57"/>
      <c r="D177" s="1"/>
      <c r="E177" s="1"/>
      <c r="F177" s="45"/>
      <c r="G177" s="4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 ht="15.0" customHeight="1">
      <c r="A178" s="57"/>
      <c r="B178" s="57"/>
      <c r="C178" s="57"/>
      <c r="D178" s="1"/>
      <c r="E178" s="1"/>
      <c r="F178" s="45"/>
      <c r="G178" s="4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 ht="15.0" customHeight="1">
      <c r="A179" s="57"/>
      <c r="B179" s="57"/>
      <c r="C179" s="57"/>
      <c r="D179" s="1"/>
      <c r="E179" s="1"/>
      <c r="F179" s="45"/>
      <c r="G179" s="4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 ht="15.0" customHeight="1">
      <c r="A180" s="57"/>
      <c r="B180" s="57"/>
      <c r="C180" s="57"/>
      <c r="D180" s="1"/>
      <c r="E180" s="1"/>
      <c r="F180" s="45"/>
      <c r="G180" s="4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 ht="15.0" customHeight="1">
      <c r="A181" s="57"/>
      <c r="B181" s="57"/>
      <c r="C181" s="57"/>
      <c r="D181" s="1"/>
      <c r="E181" s="1"/>
      <c r="F181" s="45"/>
      <c r="G181" s="4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 ht="15.0" customHeight="1">
      <c r="A182" s="57"/>
      <c r="B182" s="57"/>
      <c r="C182" s="57"/>
      <c r="D182" s="1"/>
      <c r="E182" s="1"/>
      <c r="F182" s="45"/>
      <c r="G182" s="4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 ht="15.0" customHeight="1">
      <c r="A183" s="57"/>
      <c r="B183" s="57"/>
      <c r="C183" s="57"/>
      <c r="D183" s="1"/>
      <c r="E183" s="1"/>
      <c r="F183" s="45"/>
      <c r="G183" s="4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 ht="15.0" customHeight="1">
      <c r="A184" s="57"/>
      <c r="B184" s="57"/>
      <c r="C184" s="57"/>
      <c r="D184" s="1"/>
      <c r="E184" s="1"/>
      <c r="F184" s="45"/>
      <c r="G184" s="4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 ht="15.0" customHeight="1">
      <c r="A185" s="57"/>
      <c r="B185" s="57"/>
      <c r="C185" s="57"/>
      <c r="D185" s="1"/>
      <c r="E185" s="1"/>
      <c r="F185" s="45"/>
      <c r="G185" s="4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 ht="15.0" customHeight="1">
      <c r="A186" s="57"/>
      <c r="B186" s="57"/>
      <c r="C186" s="57"/>
      <c r="D186" s="1"/>
      <c r="E186" s="1"/>
      <c r="F186" s="45"/>
      <c r="G186" s="4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 ht="15.0" customHeight="1">
      <c r="A187" s="57"/>
      <c r="B187" s="57"/>
      <c r="C187" s="57"/>
      <c r="D187" s="1"/>
      <c r="E187" s="1"/>
      <c r="F187" s="45"/>
      <c r="G187" s="4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 ht="15.0" customHeight="1">
      <c r="A188" s="57"/>
      <c r="B188" s="57"/>
      <c r="C188" s="57"/>
      <c r="D188" s="1"/>
      <c r="E188" s="1"/>
      <c r="F188" s="45"/>
      <c r="G188" s="4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 ht="15.0" customHeight="1">
      <c r="A189" s="57"/>
      <c r="B189" s="57"/>
      <c r="C189" s="57"/>
      <c r="D189" s="1"/>
      <c r="E189" s="1"/>
      <c r="F189" s="45"/>
      <c r="G189" s="4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 ht="15.0" customHeight="1">
      <c r="A190" s="57"/>
      <c r="B190" s="57"/>
      <c r="C190" s="57"/>
      <c r="D190" s="1"/>
      <c r="E190" s="1"/>
      <c r="F190" s="45"/>
      <c r="G190" s="4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 ht="15.0" customHeight="1">
      <c r="A191" s="57"/>
      <c r="B191" s="57"/>
      <c r="C191" s="57"/>
      <c r="D191" s="1"/>
      <c r="E191" s="1"/>
      <c r="F191" s="45"/>
      <c r="G191" s="4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 ht="15.0" customHeight="1">
      <c r="A192" s="57"/>
      <c r="B192" s="57"/>
      <c r="C192" s="57"/>
      <c r="D192" s="1"/>
      <c r="E192" s="1"/>
      <c r="F192" s="45"/>
      <c r="G192" s="4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 ht="15.0" customHeight="1">
      <c r="A193" s="57"/>
      <c r="B193" s="57"/>
      <c r="C193" s="57"/>
      <c r="D193" s="1"/>
      <c r="E193" s="1"/>
      <c r="F193" s="45"/>
      <c r="G193" s="4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 ht="15.0" customHeight="1">
      <c r="A194" s="57"/>
      <c r="B194" s="57"/>
      <c r="C194" s="57"/>
      <c r="D194" s="1"/>
      <c r="E194" s="1"/>
      <c r="F194" s="45"/>
      <c r="G194" s="4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 ht="15.0" customHeight="1">
      <c r="A195" s="57"/>
      <c r="B195" s="57"/>
      <c r="C195" s="57"/>
      <c r="D195" s="1"/>
      <c r="E195" s="1"/>
      <c r="F195" s="45"/>
      <c r="G195" s="4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 ht="15.0" customHeight="1">
      <c r="A196" s="57"/>
      <c r="B196" s="57"/>
      <c r="C196" s="57"/>
      <c r="D196" s="1"/>
      <c r="E196" s="1"/>
      <c r="F196" s="45"/>
      <c r="G196" s="4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 ht="15.0" customHeight="1">
      <c r="A197" s="57"/>
      <c r="B197" s="57"/>
      <c r="C197" s="57"/>
      <c r="D197" s="1"/>
      <c r="E197" s="1"/>
      <c r="F197" s="45"/>
      <c r="G197" s="4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 ht="15.0" customHeight="1">
      <c r="A198" s="57"/>
      <c r="B198" s="57"/>
      <c r="C198" s="57"/>
      <c r="D198" s="1"/>
      <c r="E198" s="1"/>
      <c r="F198" s="45"/>
      <c r="G198" s="4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 ht="15.0" customHeight="1">
      <c r="A199" s="57"/>
      <c r="B199" s="57"/>
      <c r="C199" s="57"/>
      <c r="D199" s="1"/>
      <c r="E199" s="1"/>
      <c r="F199" s="45"/>
      <c r="G199" s="4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 ht="15.0" customHeight="1">
      <c r="A200" s="57"/>
      <c r="B200" s="57"/>
      <c r="C200" s="57"/>
      <c r="D200" s="1"/>
      <c r="E200" s="1"/>
      <c r="F200" s="45"/>
      <c r="G200" s="4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 ht="15.0" customHeight="1">
      <c r="A201" s="57"/>
      <c r="B201" s="57"/>
      <c r="C201" s="57"/>
      <c r="D201" s="1"/>
      <c r="E201" s="1"/>
      <c r="F201" s="45"/>
      <c r="G201" s="4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 ht="15.0" customHeight="1">
      <c r="A202" s="57"/>
      <c r="B202" s="57"/>
      <c r="C202" s="57"/>
      <c r="D202" s="1"/>
      <c r="E202" s="1"/>
      <c r="F202" s="45"/>
      <c r="G202" s="4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 ht="15.0" customHeight="1">
      <c r="A203" s="57"/>
      <c r="B203" s="57"/>
      <c r="C203" s="57"/>
      <c r="D203" s="1"/>
      <c r="E203" s="1"/>
      <c r="F203" s="45"/>
      <c r="G203" s="4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 ht="15.0" customHeight="1">
      <c r="A204" s="57"/>
      <c r="B204" s="57"/>
      <c r="C204" s="57"/>
      <c r="D204" s="1"/>
      <c r="E204" s="1"/>
      <c r="F204" s="45"/>
      <c r="G204" s="4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 ht="15.0" customHeight="1">
      <c r="A205" s="57"/>
      <c r="B205" s="57"/>
      <c r="C205" s="57"/>
      <c r="D205" s="1"/>
      <c r="E205" s="1"/>
      <c r="F205" s="45"/>
      <c r="G205" s="4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 ht="15.0" customHeight="1">
      <c r="A206" s="57"/>
      <c r="B206" s="57"/>
      <c r="C206" s="57"/>
      <c r="D206" s="1"/>
      <c r="E206" s="1"/>
      <c r="F206" s="45"/>
      <c r="G206" s="4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 ht="15.0" customHeight="1">
      <c r="A207" s="57"/>
      <c r="B207" s="57"/>
      <c r="C207" s="57"/>
      <c r="D207" s="1"/>
      <c r="E207" s="1"/>
      <c r="F207" s="45"/>
      <c r="G207" s="4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 ht="15.0" customHeight="1">
      <c r="A208" s="57"/>
      <c r="B208" s="57"/>
      <c r="C208" s="57"/>
      <c r="D208" s="1"/>
      <c r="E208" s="1"/>
      <c r="F208" s="45"/>
      <c r="G208" s="4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 ht="15.0" customHeight="1">
      <c r="A209" s="57"/>
      <c r="B209" s="57"/>
      <c r="C209" s="57"/>
      <c r="D209" s="1"/>
      <c r="E209" s="1"/>
      <c r="F209" s="45"/>
      <c r="G209" s="4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 ht="15.0" customHeight="1">
      <c r="A210" s="57"/>
      <c r="B210" s="57"/>
      <c r="C210" s="57"/>
      <c r="D210" s="1"/>
      <c r="E210" s="1"/>
      <c r="F210" s="45"/>
      <c r="G210" s="4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 ht="15.0" customHeight="1">
      <c r="A211" s="57"/>
      <c r="B211" s="57"/>
      <c r="C211" s="57"/>
      <c r="D211" s="1"/>
      <c r="E211" s="1"/>
      <c r="F211" s="45"/>
      <c r="G211" s="4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 ht="15.0" customHeight="1">
      <c r="A212" s="57"/>
      <c r="B212" s="57"/>
      <c r="C212" s="57"/>
      <c r="D212" s="1"/>
      <c r="E212" s="1"/>
      <c r="F212" s="45"/>
      <c r="G212" s="4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 ht="15.0" customHeight="1">
      <c r="A213" s="57"/>
      <c r="B213" s="57"/>
      <c r="C213" s="57"/>
      <c r="D213" s="1"/>
      <c r="E213" s="1"/>
      <c r="F213" s="45"/>
      <c r="G213" s="4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 ht="15.0" customHeight="1">
      <c r="A214" s="57"/>
      <c r="B214" s="57"/>
      <c r="C214" s="57"/>
      <c r="D214" s="1"/>
      <c r="E214" s="1"/>
      <c r="F214" s="45"/>
      <c r="G214" s="4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 ht="15.0" customHeight="1">
      <c r="A215" s="57"/>
      <c r="B215" s="57"/>
      <c r="C215" s="57"/>
      <c r="D215" s="1"/>
      <c r="E215" s="1"/>
      <c r="F215" s="45"/>
      <c r="G215" s="4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 ht="15.0" customHeight="1">
      <c r="A216" s="57"/>
      <c r="B216" s="57"/>
      <c r="C216" s="57"/>
      <c r="D216" s="1"/>
      <c r="E216" s="1"/>
      <c r="F216" s="45"/>
      <c r="G216" s="4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 ht="15.0" customHeight="1">
      <c r="A217" s="57"/>
      <c r="B217" s="57"/>
      <c r="C217" s="57"/>
      <c r="D217" s="1"/>
      <c r="E217" s="1"/>
      <c r="F217" s="45"/>
      <c r="G217" s="4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 ht="15.0" customHeight="1">
      <c r="A218" s="57"/>
      <c r="B218" s="57"/>
      <c r="C218" s="57"/>
      <c r="D218" s="1"/>
      <c r="E218" s="1"/>
      <c r="F218" s="45"/>
      <c r="G218" s="4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 ht="15.0" customHeight="1">
      <c r="A219" s="57"/>
      <c r="B219" s="57"/>
      <c r="C219" s="57"/>
      <c r="D219" s="1"/>
      <c r="E219" s="1"/>
      <c r="F219" s="45"/>
      <c r="G219" s="4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 ht="15.0" customHeight="1">
      <c r="A220" s="57"/>
      <c r="B220" s="57"/>
      <c r="C220" s="57"/>
      <c r="D220" s="1"/>
      <c r="E220" s="1"/>
      <c r="F220" s="45"/>
      <c r="G220" s="4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 ht="15.0" customHeight="1">
      <c r="A221" s="57"/>
      <c r="B221" s="57"/>
      <c r="C221" s="57"/>
      <c r="D221" s="1"/>
      <c r="E221" s="1"/>
      <c r="F221" s="45"/>
      <c r="G221" s="4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 ht="15.0" customHeight="1">
      <c r="A222" s="57"/>
      <c r="B222" s="57"/>
      <c r="C222" s="57"/>
      <c r="D222" s="1"/>
      <c r="E222" s="1"/>
      <c r="F222" s="45"/>
      <c r="G222" s="4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 ht="15.0" customHeight="1">
      <c r="A223" s="57"/>
      <c r="B223" s="57"/>
      <c r="C223" s="57"/>
      <c r="D223" s="1"/>
      <c r="E223" s="1"/>
      <c r="F223" s="45"/>
      <c r="G223" s="4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 ht="15.0" customHeight="1">
      <c r="A224" s="57"/>
      <c r="B224" s="57"/>
      <c r="C224" s="57"/>
      <c r="D224" s="1"/>
      <c r="E224" s="1"/>
      <c r="F224" s="45"/>
      <c r="G224" s="4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 ht="15.0" customHeight="1">
      <c r="A225" s="57"/>
      <c r="B225" s="57"/>
      <c r="C225" s="57"/>
      <c r="D225" s="1"/>
      <c r="E225" s="1"/>
      <c r="F225" s="45"/>
      <c r="G225" s="4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 ht="15.0" customHeight="1">
      <c r="A226" s="57"/>
      <c r="B226" s="57"/>
      <c r="C226" s="57"/>
      <c r="D226" s="1"/>
      <c r="E226" s="1"/>
      <c r="F226" s="45"/>
      <c r="G226" s="4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 ht="15.0" customHeight="1">
      <c r="A227" s="57"/>
      <c r="B227" s="57"/>
      <c r="C227" s="57"/>
      <c r="D227" s="1"/>
      <c r="E227" s="1"/>
      <c r="F227" s="45"/>
      <c r="G227" s="4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 ht="15.0" customHeight="1">
      <c r="A228" s="57"/>
      <c r="B228" s="57"/>
      <c r="C228" s="57"/>
      <c r="D228" s="1"/>
      <c r="E228" s="1"/>
      <c r="F228" s="45"/>
      <c r="G228" s="4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 ht="15.0" customHeight="1">
      <c r="A229" s="57"/>
      <c r="B229" s="57"/>
      <c r="C229" s="57"/>
      <c r="D229" s="1"/>
      <c r="E229" s="1"/>
      <c r="F229" s="45"/>
      <c r="G229" s="4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 ht="15.0" customHeight="1">
      <c r="A230" s="57"/>
      <c r="B230" s="57"/>
      <c r="C230" s="57"/>
      <c r="D230" s="1"/>
      <c r="E230" s="1"/>
      <c r="F230" s="45"/>
      <c r="G230" s="4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 ht="15.0" customHeight="1">
      <c r="A231" s="57"/>
      <c r="B231" s="57"/>
      <c r="C231" s="57"/>
      <c r="D231" s="1"/>
      <c r="E231" s="1"/>
      <c r="F231" s="45"/>
      <c r="G231" s="4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 ht="15.0" customHeight="1">
      <c r="A232" s="57"/>
      <c r="B232" s="57"/>
      <c r="C232" s="57"/>
      <c r="D232" s="1"/>
      <c r="E232" s="1"/>
      <c r="F232" s="45"/>
      <c r="G232" s="4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 ht="15.0" customHeight="1">
      <c r="A233" s="57"/>
      <c r="B233" s="57"/>
      <c r="C233" s="57"/>
      <c r="D233" s="1"/>
      <c r="E233" s="1"/>
      <c r="F233" s="45"/>
      <c r="G233" s="4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 ht="15.0" customHeight="1">
      <c r="A234" s="57"/>
      <c r="B234" s="57"/>
      <c r="C234" s="57"/>
      <c r="D234" s="1"/>
      <c r="E234" s="1"/>
      <c r="F234" s="45"/>
      <c r="G234" s="4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 ht="15.0" customHeight="1">
      <c r="A235" s="57"/>
      <c r="B235" s="57"/>
      <c r="C235" s="57"/>
      <c r="D235" s="1"/>
      <c r="E235" s="1"/>
      <c r="F235" s="45"/>
      <c r="G235" s="4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 ht="15.0" customHeight="1">
      <c r="A236" s="57"/>
      <c r="B236" s="57"/>
      <c r="C236" s="57"/>
      <c r="D236" s="1"/>
      <c r="E236" s="1"/>
      <c r="F236" s="45"/>
      <c r="G236" s="4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 ht="15.0" customHeight="1">
      <c r="A237" s="57"/>
      <c r="B237" s="57"/>
      <c r="C237" s="57"/>
      <c r="D237" s="1"/>
      <c r="E237" s="1"/>
      <c r="F237" s="45"/>
      <c r="G237" s="4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 ht="15.0" customHeight="1">
      <c r="A238" s="57"/>
      <c r="B238" s="57"/>
      <c r="C238" s="57"/>
      <c r="D238" s="1"/>
      <c r="E238" s="1"/>
      <c r="F238" s="45"/>
      <c r="G238" s="4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 ht="15.0" customHeight="1">
      <c r="A239" s="57"/>
      <c r="B239" s="57"/>
      <c r="C239" s="57"/>
      <c r="D239" s="1"/>
      <c r="E239" s="1"/>
      <c r="F239" s="45"/>
      <c r="G239" s="4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 ht="15.0" customHeight="1">
      <c r="A240" s="57"/>
      <c r="B240" s="57"/>
      <c r="C240" s="57"/>
      <c r="D240" s="1"/>
      <c r="E240" s="1"/>
      <c r="F240" s="45"/>
      <c r="G240" s="4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 ht="15.0" customHeight="1">
      <c r="A241" s="57"/>
      <c r="B241" s="57"/>
      <c r="C241" s="57"/>
      <c r="D241" s="1"/>
      <c r="E241" s="1"/>
      <c r="F241" s="45"/>
      <c r="G241" s="4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 ht="15.0" customHeight="1">
      <c r="A242" s="57"/>
      <c r="B242" s="57"/>
      <c r="C242" s="57"/>
      <c r="D242" s="1"/>
      <c r="E242" s="1"/>
      <c r="F242" s="45"/>
      <c r="G242" s="4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 ht="15.0" customHeight="1">
      <c r="A243" s="57"/>
      <c r="B243" s="57"/>
      <c r="C243" s="57"/>
      <c r="D243" s="1"/>
      <c r="E243" s="1"/>
      <c r="F243" s="45"/>
      <c r="G243" s="4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 ht="15.0" customHeight="1">
      <c r="A244" s="57"/>
      <c r="B244" s="57"/>
      <c r="C244" s="57"/>
      <c r="D244" s="1"/>
      <c r="E244" s="1"/>
      <c r="F244" s="45"/>
      <c r="G244" s="4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 ht="15.0" customHeight="1">
      <c r="A245" s="57"/>
      <c r="B245" s="57"/>
      <c r="C245" s="57"/>
      <c r="D245" s="1"/>
      <c r="E245" s="1"/>
      <c r="F245" s="45"/>
      <c r="G245" s="4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 ht="15.0" customHeight="1">
      <c r="A246" s="57"/>
      <c r="B246" s="57"/>
      <c r="C246" s="57"/>
      <c r="D246" s="1"/>
      <c r="E246" s="1"/>
      <c r="F246" s="45"/>
      <c r="G246" s="4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 ht="15.0" customHeight="1">
      <c r="A247" s="57"/>
      <c r="B247" s="57"/>
      <c r="C247" s="57"/>
      <c r="D247" s="1"/>
      <c r="E247" s="1"/>
      <c r="F247" s="45"/>
      <c r="G247" s="4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 ht="15.0" customHeight="1">
      <c r="A248" s="57"/>
      <c r="B248" s="57"/>
      <c r="C248" s="57"/>
      <c r="D248" s="1"/>
      <c r="E248" s="1"/>
      <c r="F248" s="45"/>
      <c r="G248" s="4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 ht="15.0" customHeight="1">
      <c r="A249" s="57"/>
      <c r="B249" s="57"/>
      <c r="C249" s="57"/>
      <c r="D249" s="1"/>
      <c r="E249" s="1"/>
      <c r="F249" s="45"/>
      <c r="G249" s="4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 ht="15.0" customHeight="1">
      <c r="A250" s="57"/>
      <c r="B250" s="57"/>
      <c r="C250" s="57"/>
      <c r="D250" s="1"/>
      <c r="E250" s="1"/>
      <c r="F250" s="45"/>
      <c r="G250" s="4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 ht="15.0" customHeight="1">
      <c r="A251" s="57"/>
      <c r="B251" s="57"/>
      <c r="C251" s="57"/>
      <c r="D251" s="1"/>
      <c r="E251" s="1"/>
      <c r="F251" s="45"/>
      <c r="G251" s="4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 ht="15.0" customHeight="1">
      <c r="A252" s="57"/>
      <c r="B252" s="57"/>
      <c r="C252" s="57"/>
      <c r="D252" s="1"/>
      <c r="E252" s="1"/>
      <c r="F252" s="45"/>
      <c r="G252" s="4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 ht="15.0" customHeight="1">
      <c r="A253" s="57"/>
      <c r="B253" s="57"/>
      <c r="C253" s="57"/>
      <c r="D253" s="1"/>
      <c r="E253" s="1"/>
      <c r="F253" s="45"/>
      <c r="G253" s="4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 ht="15.0" customHeight="1">
      <c r="A254" s="57"/>
      <c r="B254" s="57"/>
      <c r="C254" s="57"/>
      <c r="D254" s="1"/>
      <c r="E254" s="1"/>
      <c r="F254" s="45"/>
      <c r="G254" s="4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 ht="15.0" customHeight="1">
      <c r="A255" s="57"/>
      <c r="B255" s="57"/>
      <c r="C255" s="57"/>
      <c r="D255" s="1"/>
      <c r="E255" s="1"/>
      <c r="F255" s="45"/>
      <c r="G255" s="4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 ht="15.0" customHeight="1">
      <c r="A256" s="57"/>
      <c r="B256" s="57"/>
      <c r="C256" s="57"/>
      <c r="D256" s="1"/>
      <c r="E256" s="1"/>
      <c r="F256" s="45"/>
      <c r="G256" s="4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 ht="15.0" customHeight="1">
      <c r="A257" s="57"/>
      <c r="B257" s="57"/>
      <c r="C257" s="57"/>
      <c r="D257" s="1"/>
      <c r="E257" s="1"/>
      <c r="F257" s="45"/>
      <c r="G257" s="4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 ht="15.0" customHeight="1">
      <c r="A258" s="57"/>
      <c r="B258" s="57"/>
      <c r="C258" s="57"/>
      <c r="D258" s="1"/>
      <c r="E258" s="1"/>
      <c r="F258" s="45"/>
      <c r="G258" s="4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 ht="15.0" customHeight="1">
      <c r="A259" s="57"/>
      <c r="B259" s="57"/>
      <c r="C259" s="57"/>
      <c r="D259" s="1"/>
      <c r="E259" s="1"/>
      <c r="F259" s="45"/>
      <c r="G259" s="4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 ht="15.0" customHeight="1">
      <c r="A260" s="57"/>
      <c r="B260" s="57"/>
      <c r="C260" s="57"/>
      <c r="D260" s="1"/>
      <c r="E260" s="1"/>
      <c r="F260" s="45"/>
      <c r="G260" s="4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 ht="15.0" customHeight="1">
      <c r="A261" s="57"/>
      <c r="B261" s="57"/>
      <c r="C261" s="57"/>
      <c r="D261" s="1"/>
      <c r="E261" s="1"/>
      <c r="F261" s="45"/>
      <c r="G261" s="4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 ht="15.0" customHeight="1">
      <c r="A262" s="57"/>
      <c r="B262" s="57"/>
      <c r="C262" s="57"/>
      <c r="D262" s="1"/>
      <c r="E262" s="1"/>
      <c r="F262" s="45"/>
      <c r="G262" s="4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 ht="15.0" customHeight="1">
      <c r="A263" s="57"/>
      <c r="B263" s="57"/>
      <c r="C263" s="57"/>
      <c r="D263" s="1"/>
      <c r="E263" s="1"/>
      <c r="F263" s="45"/>
      <c r="G263" s="4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 ht="15.0" customHeight="1">
      <c r="A264" s="57"/>
      <c r="B264" s="57"/>
      <c r="C264" s="57"/>
      <c r="D264" s="1"/>
      <c r="E264" s="1"/>
      <c r="F264" s="45"/>
      <c r="G264" s="4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 ht="15.0" customHeight="1">
      <c r="A265" s="57"/>
      <c r="B265" s="57"/>
      <c r="C265" s="57"/>
      <c r="D265" s="1"/>
      <c r="E265" s="1"/>
      <c r="F265" s="45"/>
      <c r="G265" s="4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 ht="15.0" customHeight="1">
      <c r="A266" s="57"/>
      <c r="B266" s="57"/>
      <c r="C266" s="57"/>
      <c r="D266" s="1"/>
      <c r="E266" s="1"/>
      <c r="F266" s="45"/>
      <c r="G266" s="4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 ht="15.0" customHeight="1">
      <c r="A267" s="57"/>
      <c r="B267" s="57"/>
      <c r="C267" s="57"/>
      <c r="D267" s="1"/>
      <c r="E267" s="1"/>
      <c r="F267" s="45"/>
      <c r="G267" s="4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 ht="15.0" customHeight="1">
      <c r="A268" s="57"/>
      <c r="B268" s="57"/>
      <c r="C268" s="57"/>
      <c r="D268" s="1"/>
      <c r="E268" s="1"/>
      <c r="F268" s="45"/>
      <c r="G268" s="4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 ht="15.0" customHeight="1">
      <c r="A269" s="57"/>
      <c r="B269" s="57"/>
      <c r="C269" s="57"/>
      <c r="D269" s="1"/>
      <c r="E269" s="1"/>
      <c r="F269" s="45"/>
      <c r="G269" s="4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 ht="15.0" customHeight="1">
      <c r="A270" s="57"/>
      <c r="B270" s="57"/>
      <c r="C270" s="57"/>
      <c r="D270" s="1"/>
      <c r="E270" s="1"/>
      <c r="F270" s="45"/>
      <c r="G270" s="4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 ht="15.0" customHeight="1">
      <c r="A271" s="57"/>
      <c r="B271" s="57"/>
      <c r="C271" s="57"/>
      <c r="D271" s="1"/>
      <c r="E271" s="1"/>
      <c r="F271" s="45"/>
      <c r="G271" s="4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 ht="15.0" customHeight="1">
      <c r="A272" s="57"/>
      <c r="B272" s="57"/>
      <c r="C272" s="57"/>
      <c r="D272" s="1"/>
      <c r="E272" s="1"/>
      <c r="F272" s="45"/>
      <c r="G272" s="4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 ht="15.0" customHeight="1">
      <c r="A273" s="57"/>
      <c r="B273" s="57"/>
      <c r="C273" s="57"/>
      <c r="D273" s="1"/>
      <c r="E273" s="1"/>
      <c r="F273" s="45"/>
      <c r="G273" s="4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 ht="15.0" customHeight="1">
      <c r="A274" s="57"/>
      <c r="B274" s="57"/>
      <c r="C274" s="57"/>
      <c r="D274" s="1"/>
      <c r="E274" s="1"/>
      <c r="F274" s="45"/>
      <c r="G274" s="4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 ht="15.0" customHeight="1">
      <c r="A275" s="57"/>
      <c r="B275" s="57"/>
      <c r="C275" s="57"/>
      <c r="D275" s="1"/>
      <c r="E275" s="1"/>
      <c r="F275" s="45"/>
      <c r="G275" s="4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 ht="15.0" customHeight="1">
      <c r="A276" s="57"/>
      <c r="B276" s="57"/>
      <c r="C276" s="57"/>
      <c r="D276" s="1"/>
      <c r="E276" s="1"/>
      <c r="F276" s="45"/>
      <c r="G276" s="4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 ht="15.0" customHeight="1">
      <c r="A277" s="57"/>
      <c r="B277" s="57"/>
      <c r="C277" s="57"/>
      <c r="D277" s="1"/>
      <c r="E277" s="1"/>
      <c r="F277" s="45"/>
      <c r="G277" s="4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 ht="15.0" customHeight="1">
      <c r="A278" s="57"/>
      <c r="B278" s="57"/>
      <c r="C278" s="57"/>
      <c r="D278" s="1"/>
      <c r="E278" s="1"/>
      <c r="F278" s="45"/>
      <c r="G278" s="4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 ht="15.0" customHeight="1">
      <c r="A279" s="57"/>
      <c r="B279" s="57"/>
      <c r="C279" s="57"/>
      <c r="D279" s="1"/>
      <c r="E279" s="1"/>
      <c r="F279" s="45"/>
      <c r="G279" s="4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 ht="15.0" customHeight="1">
      <c r="A280" s="57"/>
      <c r="B280" s="57"/>
      <c r="C280" s="57"/>
      <c r="D280" s="1"/>
      <c r="E280" s="1"/>
      <c r="F280" s="45"/>
      <c r="G280" s="4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 ht="15.0" customHeight="1">
      <c r="A281" s="57"/>
      <c r="B281" s="57"/>
      <c r="C281" s="57"/>
      <c r="D281" s="1"/>
      <c r="E281" s="1"/>
      <c r="F281" s="45"/>
      <c r="G281" s="4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 ht="15.0" customHeight="1">
      <c r="A282" s="57"/>
      <c r="B282" s="57"/>
      <c r="C282" s="57"/>
      <c r="D282" s="1"/>
      <c r="E282" s="1"/>
      <c r="F282" s="45"/>
      <c r="G282" s="4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 ht="15.0" customHeight="1">
      <c r="A283" s="57"/>
      <c r="B283" s="57"/>
      <c r="C283" s="57"/>
      <c r="D283" s="1"/>
      <c r="E283" s="1"/>
      <c r="F283" s="45"/>
      <c r="G283" s="4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 ht="15.0" customHeight="1">
      <c r="A284" s="57"/>
      <c r="B284" s="57"/>
      <c r="C284" s="57"/>
      <c r="D284" s="1"/>
      <c r="E284" s="1"/>
      <c r="F284" s="45"/>
      <c r="G284" s="4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 ht="15.0" customHeight="1">
      <c r="A285" s="57"/>
      <c r="B285" s="57"/>
      <c r="C285" s="57"/>
      <c r="D285" s="1"/>
      <c r="E285" s="1"/>
      <c r="F285" s="45"/>
      <c r="G285" s="4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 ht="15.0" customHeight="1">
      <c r="A286" s="57"/>
      <c r="B286" s="57"/>
      <c r="C286" s="57"/>
      <c r="D286" s="1"/>
      <c r="E286" s="1"/>
      <c r="F286" s="45"/>
      <c r="G286" s="4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 ht="15.0" customHeight="1">
      <c r="A287" s="57"/>
      <c r="B287" s="57"/>
      <c r="C287" s="57"/>
      <c r="D287" s="1"/>
      <c r="E287" s="1"/>
      <c r="F287" s="45"/>
      <c r="G287" s="4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 ht="15.0" customHeight="1">
      <c r="A288" s="57"/>
      <c r="B288" s="57"/>
      <c r="C288" s="57"/>
      <c r="D288" s="1"/>
      <c r="E288" s="1"/>
      <c r="F288" s="45"/>
      <c r="G288" s="4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 ht="15.0" customHeight="1">
      <c r="A289" s="57"/>
      <c r="B289" s="57"/>
      <c r="C289" s="57"/>
      <c r="D289" s="1"/>
      <c r="E289" s="1"/>
      <c r="F289" s="45"/>
      <c r="G289" s="4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 ht="15.0" customHeight="1">
      <c r="A290" s="57"/>
      <c r="B290" s="57"/>
      <c r="C290" s="57"/>
      <c r="D290" s="1"/>
      <c r="E290" s="1"/>
      <c r="F290" s="45"/>
      <c r="G290" s="4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 ht="15.0" customHeight="1">
      <c r="A291" s="57"/>
      <c r="B291" s="57"/>
      <c r="C291" s="57"/>
      <c r="D291" s="1"/>
      <c r="E291" s="1"/>
      <c r="F291" s="45"/>
      <c r="G291" s="4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 ht="15.0" customHeight="1">
      <c r="A292" s="57"/>
      <c r="B292" s="57"/>
      <c r="C292" s="57"/>
      <c r="D292" s="1"/>
      <c r="E292" s="1"/>
      <c r="F292" s="45"/>
      <c r="G292" s="4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 ht="15.0" customHeight="1">
      <c r="A293" s="57"/>
      <c r="B293" s="57"/>
      <c r="C293" s="57"/>
      <c r="D293" s="1"/>
      <c r="E293" s="1"/>
      <c r="F293" s="45"/>
      <c r="G293" s="4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 ht="15.0" customHeight="1">
      <c r="A294" s="57"/>
      <c r="B294" s="57"/>
      <c r="C294" s="57"/>
      <c r="D294" s="1"/>
      <c r="E294" s="1"/>
      <c r="F294" s="45"/>
      <c r="G294" s="4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 ht="15.0" customHeight="1">
      <c r="A295" s="57"/>
      <c r="B295" s="57"/>
      <c r="C295" s="57"/>
      <c r="D295" s="1"/>
      <c r="E295" s="1"/>
      <c r="F295" s="45"/>
      <c r="G295" s="4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 ht="15.0" customHeight="1">
      <c r="A296" s="57"/>
      <c r="B296" s="57"/>
      <c r="C296" s="57"/>
      <c r="D296" s="1"/>
      <c r="E296" s="1"/>
      <c r="F296" s="45"/>
      <c r="G296" s="4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 ht="15.0" customHeight="1">
      <c r="A297" s="57"/>
      <c r="B297" s="57"/>
      <c r="C297" s="57"/>
      <c r="D297" s="1"/>
      <c r="E297" s="1"/>
      <c r="F297" s="45"/>
      <c r="G297" s="4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 ht="15.0" customHeight="1">
      <c r="A298" s="57"/>
      <c r="B298" s="57"/>
      <c r="C298" s="57"/>
      <c r="D298" s="1"/>
      <c r="E298" s="1"/>
      <c r="F298" s="45"/>
      <c r="G298" s="4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 ht="15.0" customHeight="1">
      <c r="A299" s="57"/>
      <c r="B299" s="57"/>
      <c r="C299" s="57"/>
      <c r="D299" s="1"/>
      <c r="E299" s="1"/>
      <c r="F299" s="45"/>
      <c r="G299" s="4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 ht="15.0" customHeight="1">
      <c r="A300" s="57"/>
      <c r="B300" s="57"/>
      <c r="C300" s="57"/>
      <c r="D300" s="1"/>
      <c r="E300" s="1"/>
      <c r="F300" s="45"/>
      <c r="G300" s="4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 ht="15.0" customHeight="1">
      <c r="A301" s="57"/>
      <c r="B301" s="57"/>
      <c r="C301" s="57"/>
      <c r="D301" s="1"/>
      <c r="E301" s="1"/>
      <c r="F301" s="45"/>
      <c r="G301" s="4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 ht="15.0" customHeight="1">
      <c r="A302" s="57"/>
      <c r="B302" s="57"/>
      <c r="C302" s="57"/>
      <c r="D302" s="1"/>
      <c r="E302" s="1"/>
      <c r="F302" s="45"/>
      <c r="G302" s="4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 ht="15.0" customHeight="1">
      <c r="A303" s="57"/>
      <c r="B303" s="57"/>
      <c r="C303" s="57"/>
      <c r="D303" s="1"/>
      <c r="E303" s="1"/>
      <c r="F303" s="45"/>
      <c r="G303" s="4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 ht="15.0" customHeight="1">
      <c r="A304" s="57"/>
      <c r="B304" s="57"/>
      <c r="C304" s="57"/>
      <c r="D304" s="1"/>
      <c r="E304" s="1"/>
      <c r="F304" s="45"/>
      <c r="G304" s="4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</sheetData>
  <mergeCells count="105">
    <mergeCell ref="D1:E1"/>
    <mergeCell ref="E3:E6"/>
    <mergeCell ref="F3:F6"/>
    <mergeCell ref="G3:G6"/>
    <mergeCell ref="G7:G10"/>
    <mergeCell ref="G11:G14"/>
    <mergeCell ref="G15:G19"/>
    <mergeCell ref="E15:E19"/>
    <mergeCell ref="F15:F19"/>
    <mergeCell ref="E20:E23"/>
    <mergeCell ref="F20:F23"/>
    <mergeCell ref="G20:G23"/>
    <mergeCell ref="F24:F26"/>
    <mergeCell ref="G24:G26"/>
    <mergeCell ref="G28:G31"/>
    <mergeCell ref="G32:G35"/>
    <mergeCell ref="G36:G39"/>
    <mergeCell ref="G40:G44"/>
    <mergeCell ref="G45:G48"/>
    <mergeCell ref="G49:G51"/>
    <mergeCell ref="G53:G56"/>
    <mergeCell ref="G86:G89"/>
    <mergeCell ref="G90:G94"/>
    <mergeCell ref="G95:G98"/>
    <mergeCell ref="G99:G101"/>
    <mergeCell ref="G57:G60"/>
    <mergeCell ref="G61:G64"/>
    <mergeCell ref="G65:G69"/>
    <mergeCell ref="G70:G73"/>
    <mergeCell ref="G74:G76"/>
    <mergeCell ref="G78:G81"/>
    <mergeCell ref="G82:G85"/>
    <mergeCell ref="E40:E44"/>
    <mergeCell ref="E45:E48"/>
    <mergeCell ref="E28:E31"/>
    <mergeCell ref="F28:F31"/>
    <mergeCell ref="E32:E35"/>
    <mergeCell ref="F32:F35"/>
    <mergeCell ref="E36:E39"/>
    <mergeCell ref="F36:F39"/>
    <mergeCell ref="F40:F44"/>
    <mergeCell ref="F45:F48"/>
    <mergeCell ref="B3:B6"/>
    <mergeCell ref="B15:B19"/>
    <mergeCell ref="A78:A102"/>
    <mergeCell ref="B78:B81"/>
    <mergeCell ref="B82:B85"/>
    <mergeCell ref="B86:B89"/>
    <mergeCell ref="B90:B94"/>
    <mergeCell ref="B95:B98"/>
    <mergeCell ref="B99:B101"/>
    <mergeCell ref="A3:A27"/>
    <mergeCell ref="B20:B23"/>
    <mergeCell ref="B24:B26"/>
    <mergeCell ref="B28:B31"/>
    <mergeCell ref="B32:B35"/>
    <mergeCell ref="B36:B39"/>
    <mergeCell ref="B49:B51"/>
    <mergeCell ref="F74:F76"/>
    <mergeCell ref="F78:F81"/>
    <mergeCell ref="F82:F85"/>
    <mergeCell ref="F86:F89"/>
    <mergeCell ref="F90:F94"/>
    <mergeCell ref="F95:F98"/>
    <mergeCell ref="F99:F101"/>
    <mergeCell ref="E57:E60"/>
    <mergeCell ref="F57:F60"/>
    <mergeCell ref="E61:E64"/>
    <mergeCell ref="F61:F64"/>
    <mergeCell ref="E65:E69"/>
    <mergeCell ref="F65:F69"/>
    <mergeCell ref="F70:F73"/>
    <mergeCell ref="E99:E101"/>
    <mergeCell ref="B102:D102"/>
    <mergeCell ref="E70:E73"/>
    <mergeCell ref="E74:E76"/>
    <mergeCell ref="E78:E81"/>
    <mergeCell ref="E82:E85"/>
    <mergeCell ref="E86:E89"/>
    <mergeCell ref="E90:E94"/>
    <mergeCell ref="E95:E98"/>
    <mergeCell ref="E7:E10"/>
    <mergeCell ref="F7:F10"/>
    <mergeCell ref="B7:B10"/>
    <mergeCell ref="B11:B14"/>
    <mergeCell ref="E11:E14"/>
    <mergeCell ref="F11:F14"/>
    <mergeCell ref="E24:E26"/>
    <mergeCell ref="B27:D27"/>
    <mergeCell ref="A28:A52"/>
    <mergeCell ref="A53:A77"/>
    <mergeCell ref="B53:B56"/>
    <mergeCell ref="B57:B60"/>
    <mergeCell ref="B61:B64"/>
    <mergeCell ref="B65:B69"/>
    <mergeCell ref="B70:B73"/>
    <mergeCell ref="B74:B76"/>
    <mergeCell ref="B77:D77"/>
    <mergeCell ref="B40:B44"/>
    <mergeCell ref="B45:B48"/>
    <mergeCell ref="E49:E51"/>
    <mergeCell ref="F49:F51"/>
    <mergeCell ref="B52:D52"/>
    <mergeCell ref="E53:E56"/>
    <mergeCell ref="F53:F56"/>
  </mergeCells>
  <printOptions horizontalCentered="1"/>
  <pageMargins bottom="0.433333333333333" footer="0.0" header="0.0" left="0.43125" right="0.433333333333333" top="2.47083333333333"/>
  <pageSetup orientation="portrait"/>
  <headerFooter>
    <oddHeader>&amp;LEstadística Inferencial&amp;CEjercicio práctico n° 2 (formativo)&amp;RJL Jara</oddHead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2021-10-26T04:02:37Z</dcterms:created>
  <dc:creator>Jacqueline Köhler C.</dc:creator>
</cp:coreProperties>
</file>